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hub\IDS_API\charts\"/>
    </mc:Choice>
  </mc:AlternateContent>
  <xr:revisionPtr revIDLastSave="0" documentId="8_{AB92CC22-D664-4CCD-A31D-E94694119C52}" xr6:coauthVersionLast="47" xr6:coauthVersionMax="47" xr10:uidLastSave="{00000000-0000-0000-0000-000000000000}"/>
  <bookViews>
    <workbookView xWindow="-110" yWindow="-110" windowWidth="25180" windowHeight="16140" activeTab="1" xr2:uid="{00000000-000D-0000-FFFF-FFFF00000000}"/>
  </bookViews>
  <sheets>
    <sheet name="SARS &amp; Flu HF&amp;Comm &amp;Typhi" sheetId="4" r:id="rId1"/>
    <sheet name="INFLUENZA" sheetId="5" r:id="rId2"/>
    <sheet name="SARCOV2" sheetId="6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5" l="1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D195" i="4"/>
  <c r="D196" i="4"/>
  <c r="P123" i="4"/>
  <c r="P127" i="4"/>
  <c r="P128" i="4"/>
  <c r="P129" i="4"/>
  <c r="P130" i="4"/>
  <c r="P131" i="4"/>
  <c r="P132" i="4"/>
  <c r="P133" i="4"/>
  <c r="P134" i="4"/>
  <c r="G193" i="4" s="1"/>
  <c r="P135" i="4"/>
  <c r="G194" i="4" s="1"/>
  <c r="O117" i="4"/>
  <c r="O118" i="4"/>
  <c r="O121" i="4"/>
  <c r="O122" i="4"/>
  <c r="O125" i="4"/>
  <c r="O126" i="4"/>
  <c r="O127" i="4"/>
  <c r="O128" i="4"/>
  <c r="O129" i="4"/>
  <c r="O130" i="4"/>
  <c r="O131" i="4"/>
  <c r="O132" i="4"/>
  <c r="O133" i="4"/>
  <c r="O134" i="4"/>
  <c r="F193" i="4" s="1"/>
  <c r="O135" i="4"/>
  <c r="F194" i="4" s="1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K116" i="4"/>
  <c r="K117" i="4"/>
  <c r="P117" i="4" s="1"/>
  <c r="G190" i="4" s="1"/>
  <c r="K118" i="4"/>
  <c r="P118" i="4" s="1"/>
  <c r="G191" i="4" s="1"/>
  <c r="K119" i="4"/>
  <c r="P119" i="4" s="1"/>
  <c r="G192" i="4" s="1"/>
  <c r="K120" i="4"/>
  <c r="P120" i="4" s="1"/>
  <c r="K121" i="4"/>
  <c r="P121" i="4" s="1"/>
  <c r="K122" i="4"/>
  <c r="P122" i="4" s="1"/>
  <c r="K123" i="4"/>
  <c r="K124" i="4"/>
  <c r="P124" i="4" s="1"/>
  <c r="K125" i="4"/>
  <c r="P125" i="4" s="1"/>
  <c r="K126" i="4"/>
  <c r="P126" i="4" s="1"/>
  <c r="K127" i="4"/>
  <c r="K128" i="4"/>
  <c r="K129" i="4"/>
  <c r="K130" i="4"/>
  <c r="K131" i="4"/>
  <c r="K132" i="4"/>
  <c r="K133" i="4"/>
  <c r="K134" i="4"/>
  <c r="K135" i="4"/>
  <c r="G117" i="4"/>
  <c r="G118" i="4"/>
  <c r="G119" i="4"/>
  <c r="O119" i="4" s="1"/>
  <c r="F192" i="4" s="1"/>
  <c r="G120" i="4"/>
  <c r="O120" i="4" s="1"/>
  <c r="G121" i="4"/>
  <c r="G122" i="4"/>
  <c r="G123" i="4"/>
  <c r="O123" i="4" s="1"/>
  <c r="G124" i="4"/>
  <c r="O124" i="4" s="1"/>
  <c r="G125" i="4"/>
  <c r="G126" i="4"/>
  <c r="G127" i="4"/>
  <c r="G128" i="4"/>
  <c r="G129" i="4"/>
  <c r="G130" i="4"/>
  <c r="G131" i="4"/>
  <c r="G132" i="4"/>
  <c r="G133" i="4"/>
  <c r="G134" i="4"/>
  <c r="G135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K50" i="4"/>
  <c r="P50" i="4" s="1"/>
  <c r="E188" i="4" s="1"/>
  <c r="K51" i="4"/>
  <c r="P51" i="4" s="1"/>
  <c r="E189" i="4" s="1"/>
  <c r="K52" i="4"/>
  <c r="P52" i="4" s="1"/>
  <c r="K53" i="4"/>
  <c r="P53" i="4" s="1"/>
  <c r="K54" i="4"/>
  <c r="P54" i="4" s="1"/>
  <c r="K55" i="4"/>
  <c r="P55" i="4" s="1"/>
  <c r="K56" i="4"/>
  <c r="P56" i="4" s="1"/>
  <c r="K57" i="4"/>
  <c r="P57" i="4" s="1"/>
  <c r="K58" i="4"/>
  <c r="P58" i="4" s="1"/>
  <c r="K59" i="4"/>
  <c r="P59" i="4" s="1"/>
  <c r="K60" i="4"/>
  <c r="P60" i="4" s="1"/>
  <c r="K61" i="4"/>
  <c r="P61" i="4" s="1"/>
  <c r="K62" i="4"/>
  <c r="P62" i="4" s="1"/>
  <c r="K63" i="4"/>
  <c r="P63" i="4" s="1"/>
  <c r="K64" i="4"/>
  <c r="P64" i="4" s="1"/>
  <c r="E190" i="4" s="1"/>
  <c r="K65" i="4"/>
  <c r="P65" i="4" s="1"/>
  <c r="E191" i="4" s="1"/>
  <c r="K66" i="4"/>
  <c r="P66" i="4" s="1"/>
  <c r="E192" i="4" s="1"/>
  <c r="K67" i="4"/>
  <c r="P67" i="4" s="1"/>
  <c r="E193" i="4" s="1"/>
  <c r="G50" i="4"/>
  <c r="O50" i="4" s="1"/>
  <c r="D188" i="4" s="1"/>
  <c r="G51" i="4"/>
  <c r="O51" i="4" s="1"/>
  <c r="D189" i="4" s="1"/>
  <c r="G52" i="4"/>
  <c r="O52" i="4" s="1"/>
  <c r="G53" i="4"/>
  <c r="O53" i="4" s="1"/>
  <c r="G54" i="4"/>
  <c r="O54" i="4" s="1"/>
  <c r="G55" i="4"/>
  <c r="O55" i="4" s="1"/>
  <c r="G56" i="4"/>
  <c r="O56" i="4" s="1"/>
  <c r="G57" i="4"/>
  <c r="O57" i="4" s="1"/>
  <c r="G58" i="4"/>
  <c r="O58" i="4" s="1"/>
  <c r="G59" i="4"/>
  <c r="O59" i="4" s="1"/>
  <c r="G60" i="4"/>
  <c r="O60" i="4" s="1"/>
  <c r="G61" i="4"/>
  <c r="O61" i="4" s="1"/>
  <c r="G62" i="4"/>
  <c r="O62" i="4" s="1"/>
  <c r="G63" i="4"/>
  <c r="O63" i="4" s="1"/>
  <c r="G64" i="4"/>
  <c r="O64" i="4" s="1"/>
  <c r="D190" i="4" s="1"/>
  <c r="G65" i="4"/>
  <c r="O65" i="4" s="1"/>
  <c r="D191" i="4" s="1"/>
  <c r="G66" i="4"/>
  <c r="O66" i="4" s="1"/>
  <c r="D192" i="4" s="1"/>
  <c r="G67" i="4"/>
  <c r="O67" i="4" s="1"/>
  <c r="D193" i="4" s="1"/>
  <c r="G195" i="4"/>
  <c r="G196" i="4"/>
  <c r="F195" i="4"/>
  <c r="F196" i="4"/>
  <c r="E194" i="4"/>
  <c r="E195" i="4"/>
  <c r="E196" i="4"/>
  <c r="D194" i="4"/>
  <c r="O116" i="4"/>
  <c r="F189" i="4" s="1"/>
  <c r="F190" i="4"/>
  <c r="N113" i="4"/>
  <c r="N114" i="4"/>
  <c r="N115" i="4"/>
  <c r="M113" i="4"/>
  <c r="M114" i="4"/>
  <c r="M115" i="4"/>
  <c r="L113" i="4"/>
  <c r="L114" i="4"/>
  <c r="L115" i="4"/>
  <c r="L116" i="4"/>
  <c r="K113" i="4"/>
  <c r="P113" i="4" s="1"/>
  <c r="G186" i="4" s="1"/>
  <c r="K114" i="4"/>
  <c r="P114" i="4" s="1"/>
  <c r="G187" i="4" s="1"/>
  <c r="K115" i="4"/>
  <c r="P115" i="4" s="1"/>
  <c r="G188" i="4" s="1"/>
  <c r="P116" i="4"/>
  <c r="G189" i="4" s="1"/>
  <c r="G113" i="4"/>
  <c r="O113" i="4" s="1"/>
  <c r="F186" i="4" s="1"/>
  <c r="G114" i="4"/>
  <c r="O114" i="4" s="1"/>
  <c r="F187" i="4" s="1"/>
  <c r="G115" i="4"/>
  <c r="O115" i="4" s="1"/>
  <c r="F188" i="4" s="1"/>
  <c r="G116" i="4"/>
  <c r="G49" i="4"/>
  <c r="O49" i="4" s="1"/>
  <c r="D187" i="4" s="1"/>
  <c r="N49" i="4"/>
  <c r="M49" i="4"/>
  <c r="L49" i="4"/>
  <c r="K49" i="4"/>
  <c r="P49" i="4" s="1"/>
  <c r="E187" i="4" s="1"/>
  <c r="P108" i="4"/>
  <c r="G181" i="4" s="1"/>
  <c r="N108" i="4"/>
  <c r="N109" i="4"/>
  <c r="N110" i="4"/>
  <c r="N111" i="4"/>
  <c r="N112" i="4"/>
  <c r="M108" i="4"/>
  <c r="M109" i="4"/>
  <c r="M110" i="4"/>
  <c r="M111" i="4"/>
  <c r="M112" i="4"/>
  <c r="L108" i="4"/>
  <c r="L109" i="4"/>
  <c r="L110" i="4"/>
  <c r="L111" i="4"/>
  <c r="L112" i="4"/>
  <c r="K108" i="4"/>
  <c r="K109" i="4"/>
  <c r="P109" i="4" s="1"/>
  <c r="G182" i="4" s="1"/>
  <c r="K110" i="4"/>
  <c r="P110" i="4" s="1"/>
  <c r="G183" i="4" s="1"/>
  <c r="K111" i="4"/>
  <c r="P111" i="4" s="1"/>
  <c r="G184" i="4" s="1"/>
  <c r="K112" i="4"/>
  <c r="P112" i="4" s="1"/>
  <c r="G185" i="4" s="1"/>
  <c r="G108" i="4"/>
  <c r="O108" i="4" s="1"/>
  <c r="F181" i="4" s="1"/>
  <c r="G109" i="4"/>
  <c r="O109" i="4" s="1"/>
  <c r="F182" i="4" s="1"/>
  <c r="G110" i="4"/>
  <c r="O110" i="4" s="1"/>
  <c r="F183" i="4" s="1"/>
  <c r="G111" i="4"/>
  <c r="O111" i="4" s="1"/>
  <c r="F184" i="4" s="1"/>
  <c r="G112" i="4"/>
  <c r="O112" i="4" s="1"/>
  <c r="F185" i="4" s="1"/>
  <c r="N43" i="4"/>
  <c r="N44" i="4"/>
  <c r="N45" i="4"/>
  <c r="N46" i="4"/>
  <c r="N47" i="4"/>
  <c r="N48" i="4"/>
  <c r="M43" i="4"/>
  <c r="M44" i="4"/>
  <c r="M45" i="4"/>
  <c r="M46" i="4"/>
  <c r="M47" i="4"/>
  <c r="M48" i="4"/>
  <c r="L43" i="4"/>
  <c r="L44" i="4"/>
  <c r="L45" i="4"/>
  <c r="L46" i="4"/>
  <c r="L47" i="4"/>
  <c r="L48" i="4"/>
  <c r="K43" i="4"/>
  <c r="P43" i="4" s="1"/>
  <c r="E181" i="4" s="1"/>
  <c r="K44" i="4"/>
  <c r="P44" i="4" s="1"/>
  <c r="E182" i="4" s="1"/>
  <c r="K45" i="4"/>
  <c r="P45" i="4" s="1"/>
  <c r="E183" i="4" s="1"/>
  <c r="K46" i="4"/>
  <c r="P46" i="4" s="1"/>
  <c r="E184" i="4" s="1"/>
  <c r="K47" i="4"/>
  <c r="P47" i="4" s="1"/>
  <c r="E185" i="4" s="1"/>
  <c r="K48" i="4"/>
  <c r="P48" i="4" s="1"/>
  <c r="E186" i="4" s="1"/>
  <c r="G43" i="4"/>
  <c r="O43" i="4" s="1"/>
  <c r="D181" i="4" s="1"/>
  <c r="G44" i="4"/>
  <c r="O44" i="4" s="1"/>
  <c r="D182" i="4" s="1"/>
  <c r="G45" i="4"/>
  <c r="O45" i="4" s="1"/>
  <c r="D183" i="4" s="1"/>
  <c r="G46" i="4"/>
  <c r="O46" i="4" s="1"/>
  <c r="D184" i="4" s="1"/>
  <c r="G47" i="4"/>
  <c r="O47" i="4" s="1"/>
  <c r="D185" i="4" s="1"/>
  <c r="G48" i="4"/>
  <c r="O48" i="4" s="1"/>
  <c r="D186" i="4" s="1"/>
  <c r="K21" i="4"/>
  <c r="P21" i="4" s="1"/>
  <c r="K22" i="4"/>
  <c r="P22" i="4" s="1"/>
  <c r="K23" i="4"/>
  <c r="P23" i="4" s="1"/>
  <c r="K24" i="4"/>
  <c r="P24" i="4" s="1"/>
  <c r="K30" i="4"/>
  <c r="P30" i="4" s="1"/>
  <c r="K31" i="4"/>
  <c r="P31" i="4" s="1"/>
  <c r="K32" i="4"/>
  <c r="P32" i="4" s="1"/>
  <c r="K33" i="4"/>
  <c r="P33" i="4" s="1"/>
  <c r="K34" i="4"/>
  <c r="P34" i="4" s="1"/>
  <c r="K35" i="4"/>
  <c r="P35" i="4" s="1"/>
  <c r="K36" i="4"/>
  <c r="P36" i="4" s="1"/>
  <c r="K37" i="4"/>
  <c r="P37" i="4" s="1"/>
  <c r="K20" i="4"/>
  <c r="P20" i="4" s="1"/>
  <c r="K86" i="4"/>
  <c r="P86" i="4" s="1"/>
  <c r="G159" i="4" s="1"/>
  <c r="K87" i="4"/>
  <c r="P87" i="4" s="1"/>
  <c r="G160" i="4" s="1"/>
  <c r="K88" i="4"/>
  <c r="P88" i="4" s="1"/>
  <c r="G161" i="4" s="1"/>
  <c r="K89" i="4"/>
  <c r="P89" i="4" s="1"/>
  <c r="G162" i="4" s="1"/>
  <c r="K90" i="4"/>
  <c r="P90" i="4" s="1"/>
  <c r="G163" i="4" s="1"/>
  <c r="K91" i="4"/>
  <c r="P91" i="4" s="1"/>
  <c r="G164" i="4" s="1"/>
  <c r="K92" i="4"/>
  <c r="P92" i="4" s="1"/>
  <c r="G165" i="4" s="1"/>
  <c r="K93" i="4"/>
  <c r="P93" i="4" s="1"/>
  <c r="G166" i="4" s="1"/>
  <c r="K94" i="4"/>
  <c r="P94" i="4" s="1"/>
  <c r="G167" i="4" s="1"/>
  <c r="K95" i="4"/>
  <c r="P95" i="4" s="1"/>
  <c r="G168" i="4" s="1"/>
  <c r="K96" i="4"/>
  <c r="P96" i="4" s="1"/>
  <c r="G169" i="4" s="1"/>
  <c r="K97" i="4"/>
  <c r="P97" i="4" s="1"/>
  <c r="G170" i="4" s="1"/>
  <c r="K98" i="4"/>
  <c r="P98" i="4" s="1"/>
  <c r="G171" i="4" s="1"/>
  <c r="K99" i="4"/>
  <c r="P99" i="4" s="1"/>
  <c r="G172" i="4" s="1"/>
  <c r="K100" i="4"/>
  <c r="P100" i="4" s="1"/>
  <c r="G173" i="4" s="1"/>
  <c r="K101" i="4"/>
  <c r="P101" i="4" s="1"/>
  <c r="G174" i="4" s="1"/>
  <c r="K102" i="4"/>
  <c r="P102" i="4" s="1"/>
  <c r="G175" i="4" s="1"/>
  <c r="K85" i="4"/>
  <c r="P85" i="4" s="1"/>
  <c r="G158" i="4" s="1"/>
  <c r="K25" i="4"/>
  <c r="P25" i="4" s="1"/>
  <c r="K26" i="4"/>
  <c r="P26" i="4" s="1"/>
  <c r="K27" i="4"/>
  <c r="P27" i="4" s="1"/>
  <c r="K28" i="4"/>
  <c r="P28" i="4" s="1"/>
  <c r="K29" i="4"/>
  <c r="P29" i="4" s="1"/>
  <c r="F191" i="4" l="1"/>
  <c r="N107" i="4"/>
  <c r="M107" i="4"/>
  <c r="L107" i="4"/>
  <c r="K107" i="4"/>
  <c r="P107" i="4" s="1"/>
  <c r="G180" i="4" s="1"/>
  <c r="G107" i="4"/>
  <c r="O107" i="4" s="1"/>
  <c r="F180" i="4" s="1"/>
  <c r="N42" i="4"/>
  <c r="M42" i="4"/>
  <c r="L42" i="4"/>
  <c r="N105" i="4"/>
  <c r="N106" i="4"/>
  <c r="M105" i="4"/>
  <c r="M106" i="4"/>
  <c r="L105" i="4"/>
  <c r="L106" i="4"/>
  <c r="K104" i="4"/>
  <c r="P104" i="4" s="1"/>
  <c r="G177" i="4" s="1"/>
  <c r="K105" i="4"/>
  <c r="P105" i="4" s="1"/>
  <c r="G178" i="4" s="1"/>
  <c r="K106" i="4"/>
  <c r="P106" i="4" s="1"/>
  <c r="G179" i="4" s="1"/>
  <c r="G105" i="4"/>
  <c r="O105" i="4" s="1"/>
  <c r="F178" i="4" s="1"/>
  <c r="G106" i="4"/>
  <c r="O106" i="4" s="1"/>
  <c r="F179" i="4" s="1"/>
  <c r="N38" i="4"/>
  <c r="N39" i="4"/>
  <c r="N40" i="4"/>
  <c r="N41" i="4"/>
  <c r="M39" i="4"/>
  <c r="M40" i="4"/>
  <c r="M41" i="4"/>
  <c r="L39" i="4"/>
  <c r="L40" i="4"/>
  <c r="L41" i="4"/>
  <c r="K39" i="4"/>
  <c r="P39" i="4" s="1"/>
  <c r="K40" i="4"/>
  <c r="P40" i="4" s="1"/>
  <c r="E178" i="4" s="1"/>
  <c r="K41" i="4"/>
  <c r="P41" i="4" s="1"/>
  <c r="E179" i="4" s="1"/>
  <c r="K42" i="4"/>
  <c r="P42" i="4" s="1"/>
  <c r="E180" i="4" s="1"/>
  <c r="G39" i="4"/>
  <c r="O39" i="4" s="1"/>
  <c r="D177" i="4" s="1"/>
  <c r="G40" i="4"/>
  <c r="O40" i="4" s="1"/>
  <c r="D178" i="4" s="1"/>
  <c r="G41" i="4"/>
  <c r="O41" i="4" s="1"/>
  <c r="D179" i="4" s="1"/>
  <c r="G42" i="4"/>
  <c r="O42" i="4" s="1"/>
  <c r="D180" i="4" s="1"/>
  <c r="N104" i="4"/>
  <c r="M104" i="4"/>
  <c r="L104" i="4"/>
  <c r="G104" i="4"/>
  <c r="O104" i="4" s="1"/>
  <c r="F177" i="4" s="1"/>
  <c r="G38" i="4"/>
  <c r="O38" i="4" s="1"/>
  <c r="E177" i="4" l="1"/>
  <c r="N102" i="4" l="1"/>
  <c r="N103" i="4"/>
  <c r="M102" i="4"/>
  <c r="M103" i="4"/>
  <c r="L102" i="4"/>
  <c r="L103" i="4"/>
  <c r="K103" i="4"/>
  <c r="P103" i="4" s="1"/>
  <c r="G176" i="4" s="1"/>
  <c r="G102" i="4"/>
  <c r="O102" i="4" s="1"/>
  <c r="F175" i="4" s="1"/>
  <c r="G103" i="4"/>
  <c r="O103" i="4" s="1"/>
  <c r="F176" i="4" s="1"/>
  <c r="N37" i="4"/>
  <c r="M37" i="4"/>
  <c r="M38" i="4"/>
  <c r="L38" i="4"/>
  <c r="E175" i="4"/>
  <c r="K38" i="4"/>
  <c r="P38" i="4" s="1"/>
  <c r="E176" i="4" s="1"/>
  <c r="G36" i="4"/>
  <c r="G37" i="4"/>
  <c r="O37" i="4" s="1"/>
  <c r="D175" i="4" s="1"/>
  <c r="D176" i="4"/>
  <c r="N93" i="4" l="1"/>
  <c r="N94" i="4"/>
  <c r="N95" i="4"/>
  <c r="N96" i="4"/>
  <c r="N97" i="4"/>
  <c r="N98" i="4"/>
  <c r="N99" i="4"/>
  <c r="N100" i="4"/>
  <c r="N101" i="4"/>
  <c r="M93" i="4"/>
  <c r="M94" i="4"/>
  <c r="M95" i="4"/>
  <c r="M96" i="4"/>
  <c r="M97" i="4"/>
  <c r="M98" i="4"/>
  <c r="M99" i="4"/>
  <c r="M100" i="4"/>
  <c r="M101" i="4"/>
  <c r="L93" i="4"/>
  <c r="L94" i="4"/>
  <c r="L95" i="4"/>
  <c r="L96" i="4"/>
  <c r="L97" i="4"/>
  <c r="L98" i="4"/>
  <c r="L99" i="4"/>
  <c r="L100" i="4"/>
  <c r="L101" i="4"/>
  <c r="G93" i="4"/>
  <c r="O93" i="4" s="1"/>
  <c r="F166" i="4" s="1"/>
  <c r="G94" i="4"/>
  <c r="O94" i="4" s="1"/>
  <c r="F167" i="4" s="1"/>
  <c r="G95" i="4"/>
  <c r="O95" i="4" s="1"/>
  <c r="F168" i="4" s="1"/>
  <c r="G96" i="4"/>
  <c r="O96" i="4" s="1"/>
  <c r="F169" i="4" s="1"/>
  <c r="G97" i="4"/>
  <c r="O97" i="4" s="1"/>
  <c r="F170" i="4" s="1"/>
  <c r="G98" i="4"/>
  <c r="O98" i="4" s="1"/>
  <c r="F171" i="4" s="1"/>
  <c r="G99" i="4"/>
  <c r="O99" i="4" s="1"/>
  <c r="F172" i="4" s="1"/>
  <c r="G100" i="4"/>
  <c r="O100" i="4" s="1"/>
  <c r="F173" i="4" s="1"/>
  <c r="G101" i="4"/>
  <c r="O101" i="4" s="1"/>
  <c r="F174" i="4" s="1"/>
  <c r="E166" i="4"/>
  <c r="E167" i="4"/>
  <c r="E168" i="4"/>
  <c r="E169" i="4"/>
  <c r="E170" i="4"/>
  <c r="E171" i="4"/>
  <c r="E172" i="4"/>
  <c r="E173" i="4"/>
  <c r="E174" i="4"/>
  <c r="N28" i="4"/>
  <c r="N29" i="4"/>
  <c r="N30" i="4"/>
  <c r="N31" i="4"/>
  <c r="N32" i="4"/>
  <c r="N33" i="4"/>
  <c r="N34" i="4"/>
  <c r="N35" i="4"/>
  <c r="N36" i="4"/>
  <c r="M28" i="4"/>
  <c r="M29" i="4"/>
  <c r="M30" i="4"/>
  <c r="M31" i="4"/>
  <c r="M32" i="4"/>
  <c r="M33" i="4"/>
  <c r="M34" i="4"/>
  <c r="M35" i="4"/>
  <c r="M36" i="4"/>
  <c r="L28" i="4"/>
  <c r="L29" i="4"/>
  <c r="L30" i="4"/>
  <c r="L31" i="4"/>
  <c r="L32" i="4"/>
  <c r="L33" i="4"/>
  <c r="L34" i="4"/>
  <c r="L35" i="4"/>
  <c r="L36" i="4"/>
  <c r="L37" i="4"/>
  <c r="G28" i="4"/>
  <c r="O28" i="4" s="1"/>
  <c r="D166" i="4" s="1"/>
  <c r="G29" i="4"/>
  <c r="O29" i="4" s="1"/>
  <c r="D167" i="4" s="1"/>
  <c r="G30" i="4"/>
  <c r="O30" i="4" s="1"/>
  <c r="D168" i="4" s="1"/>
  <c r="G31" i="4"/>
  <c r="O31" i="4" s="1"/>
  <c r="D169" i="4" s="1"/>
  <c r="G32" i="4"/>
  <c r="O32" i="4" s="1"/>
  <c r="D170" i="4" s="1"/>
  <c r="G33" i="4"/>
  <c r="O33" i="4" s="1"/>
  <c r="D171" i="4" s="1"/>
  <c r="G34" i="4"/>
  <c r="O34" i="4" s="1"/>
  <c r="D172" i="4" s="1"/>
  <c r="G35" i="4"/>
  <c r="O35" i="4" s="1"/>
  <c r="D173" i="4" s="1"/>
  <c r="O36" i="4"/>
  <c r="D174" i="4" s="1"/>
  <c r="G16" i="4"/>
  <c r="G73" i="4" l="1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8" i="4" l="1"/>
  <c r="G9" i="4"/>
  <c r="G10" i="4"/>
  <c r="G11" i="4"/>
  <c r="O92" i="4" l="1"/>
  <c r="F165" i="4" s="1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72" i="4"/>
  <c r="L73" i="4"/>
  <c r="M73" i="4"/>
  <c r="L74" i="4"/>
  <c r="M74" i="4"/>
  <c r="L75" i="4"/>
  <c r="M75" i="4"/>
  <c r="L76" i="4"/>
  <c r="M76" i="4"/>
  <c r="L77" i="4"/>
  <c r="M77" i="4"/>
  <c r="L78" i="4"/>
  <c r="M78" i="4"/>
  <c r="L79" i="4"/>
  <c r="M79" i="4"/>
  <c r="L80" i="4"/>
  <c r="M80" i="4"/>
  <c r="L81" i="4"/>
  <c r="M81" i="4"/>
  <c r="L82" i="4"/>
  <c r="M82" i="4"/>
  <c r="L83" i="4"/>
  <c r="M83" i="4"/>
  <c r="L84" i="4"/>
  <c r="M84" i="4"/>
  <c r="L85" i="4"/>
  <c r="M85" i="4"/>
  <c r="L86" i="4"/>
  <c r="M86" i="4"/>
  <c r="L87" i="4"/>
  <c r="M87" i="4"/>
  <c r="L88" i="4"/>
  <c r="M88" i="4"/>
  <c r="L89" i="4"/>
  <c r="M89" i="4"/>
  <c r="L90" i="4"/>
  <c r="M90" i="4"/>
  <c r="L91" i="4"/>
  <c r="M91" i="4"/>
  <c r="L92" i="4"/>
  <c r="M92" i="4"/>
  <c r="M72" i="4"/>
  <c r="L72" i="4"/>
  <c r="O73" i="4"/>
  <c r="F146" i="4" s="1"/>
  <c r="O74" i="4"/>
  <c r="F147" i="4" s="1"/>
  <c r="O75" i="4"/>
  <c r="F148" i="4" s="1"/>
  <c r="O76" i="4"/>
  <c r="F149" i="4" s="1"/>
  <c r="O77" i="4"/>
  <c r="F150" i="4" s="1"/>
  <c r="G72" i="4"/>
  <c r="O72" i="4" l="1"/>
  <c r="F145" i="4" s="1"/>
  <c r="L8" i="4"/>
  <c r="M8" i="4"/>
  <c r="N8" i="4"/>
  <c r="L9" i="4"/>
  <c r="M9" i="4"/>
  <c r="N9" i="4"/>
  <c r="L10" i="4"/>
  <c r="M10" i="4"/>
  <c r="N10" i="4"/>
  <c r="L11" i="4"/>
  <c r="M11" i="4"/>
  <c r="N11" i="4"/>
  <c r="L12" i="4"/>
  <c r="M12" i="4"/>
  <c r="N12" i="4"/>
  <c r="L13" i="4"/>
  <c r="M13" i="4"/>
  <c r="N13" i="4"/>
  <c r="L14" i="4"/>
  <c r="M14" i="4"/>
  <c r="N14" i="4"/>
  <c r="L15" i="4"/>
  <c r="M15" i="4"/>
  <c r="N15" i="4"/>
  <c r="L16" i="4"/>
  <c r="M16" i="4"/>
  <c r="N16" i="4"/>
  <c r="L17" i="4"/>
  <c r="M17" i="4"/>
  <c r="N17" i="4"/>
  <c r="L18" i="4"/>
  <c r="M18" i="4"/>
  <c r="N18" i="4"/>
  <c r="L19" i="4"/>
  <c r="M19" i="4"/>
  <c r="N19" i="4"/>
  <c r="L20" i="4"/>
  <c r="M20" i="4"/>
  <c r="N20" i="4"/>
  <c r="L21" i="4"/>
  <c r="M21" i="4"/>
  <c r="N21" i="4"/>
  <c r="L22" i="4"/>
  <c r="M22" i="4"/>
  <c r="N22" i="4"/>
  <c r="L23" i="4"/>
  <c r="M23" i="4"/>
  <c r="N23" i="4"/>
  <c r="L24" i="4"/>
  <c r="M24" i="4"/>
  <c r="N24" i="4"/>
  <c r="L25" i="4"/>
  <c r="M25" i="4"/>
  <c r="N25" i="4"/>
  <c r="L26" i="4"/>
  <c r="M26" i="4"/>
  <c r="N26" i="4"/>
  <c r="L27" i="4"/>
  <c r="M27" i="4"/>
  <c r="N27" i="4"/>
  <c r="N7" i="4"/>
  <c r="M7" i="4"/>
  <c r="L7" i="4"/>
  <c r="E163" i="4" l="1"/>
  <c r="E164" i="4"/>
  <c r="E160" i="4"/>
  <c r="E161" i="4"/>
  <c r="E162" i="4"/>
  <c r="E159" i="4"/>
  <c r="E165" i="4"/>
  <c r="E158" i="4"/>
  <c r="O8" i="4"/>
  <c r="D146" i="4" s="1"/>
  <c r="O9" i="4"/>
  <c r="D147" i="4" s="1"/>
  <c r="O10" i="4"/>
  <c r="D148" i="4" s="1"/>
  <c r="O11" i="4"/>
  <c r="D149" i="4" s="1"/>
  <c r="G12" i="4"/>
  <c r="G7" i="4"/>
  <c r="O7" i="4" l="1"/>
  <c r="D145" i="4" s="1"/>
  <c r="O12" i="4"/>
  <c r="D150" i="4" s="1"/>
  <c r="O81" i="4"/>
  <c r="F154" i="4" s="1"/>
  <c r="O91" i="4"/>
  <c r="F164" i="4" s="1"/>
  <c r="O90" i="4"/>
  <c r="F163" i="4" s="1"/>
  <c r="O89" i="4"/>
  <c r="F162" i="4" s="1"/>
  <c r="O88" i="4"/>
  <c r="F161" i="4" s="1"/>
  <c r="O87" i="4"/>
  <c r="F160" i="4" s="1"/>
  <c r="O86" i="4"/>
  <c r="F159" i="4" s="1"/>
  <c r="O85" i="4"/>
  <c r="F158" i="4" s="1"/>
  <c r="O84" i="4"/>
  <c r="F157" i="4" s="1"/>
  <c r="O83" i="4"/>
  <c r="F156" i="4" s="1"/>
  <c r="O82" i="4"/>
  <c r="F155" i="4" s="1"/>
  <c r="O80" i="4"/>
  <c r="F153" i="4" s="1"/>
  <c r="O79" i="4"/>
  <c r="F152" i="4" s="1"/>
  <c r="O78" i="4"/>
  <c r="F151" i="4" s="1"/>
  <c r="G27" i="4"/>
  <c r="G26" i="4"/>
  <c r="G25" i="4"/>
  <c r="G24" i="4"/>
  <c r="G23" i="4"/>
  <c r="G22" i="4"/>
  <c r="G21" i="4"/>
  <c r="G20" i="4"/>
  <c r="G19" i="4"/>
  <c r="G18" i="4"/>
  <c r="G17" i="4"/>
  <c r="G15" i="4"/>
  <c r="G14" i="4"/>
  <c r="G13" i="4"/>
  <c r="O13" i="4" l="1"/>
  <c r="D151" i="4" s="1"/>
  <c r="O21" i="4"/>
  <c r="D159" i="4" s="1"/>
  <c r="O22" i="4"/>
  <c r="D160" i="4" s="1"/>
  <c r="O15" i="4"/>
  <c r="D153" i="4" s="1"/>
  <c r="O16" i="4"/>
  <c r="D154" i="4" s="1"/>
  <c r="O24" i="4"/>
  <c r="D162" i="4" s="1"/>
  <c r="O25" i="4"/>
  <c r="D163" i="4" s="1"/>
  <c r="O18" i="4"/>
  <c r="D156" i="4" s="1"/>
  <c r="O26" i="4"/>
  <c r="D164" i="4" s="1"/>
  <c r="O14" i="4"/>
  <c r="D152" i="4" s="1"/>
  <c r="O23" i="4"/>
  <c r="D161" i="4" s="1"/>
  <c r="O17" i="4"/>
  <c r="D155" i="4" s="1"/>
  <c r="O19" i="4"/>
  <c r="D157" i="4" s="1"/>
  <c r="O27" i="4"/>
  <c r="D165" i="4" s="1"/>
  <c r="O20" i="4"/>
  <c r="D158" i="4" s="1"/>
</calcChain>
</file>

<file path=xl/sharedStrings.xml><?xml version="1.0" encoding="utf-8"?>
<sst xmlns="http://schemas.openxmlformats.org/spreadsheetml/2006/main" count="379" uniqueCount="100">
  <si>
    <t>WK8</t>
  </si>
  <si>
    <t>WK9</t>
  </si>
  <si>
    <t>WK10</t>
  </si>
  <si>
    <t>WK11</t>
  </si>
  <si>
    <t>WK12</t>
  </si>
  <si>
    <t>WK13</t>
  </si>
  <si>
    <t>WK14</t>
  </si>
  <si>
    <t>WK15</t>
  </si>
  <si>
    <t>SARS-CoV-2</t>
  </si>
  <si>
    <t>Influenza</t>
  </si>
  <si>
    <t>WK47</t>
  </si>
  <si>
    <t>WK48</t>
  </si>
  <si>
    <t>WK49</t>
  </si>
  <si>
    <t>WK50</t>
  </si>
  <si>
    <t>WK51</t>
  </si>
  <si>
    <t>WK52</t>
  </si>
  <si>
    <t>Wk1</t>
  </si>
  <si>
    <t>WK2</t>
  </si>
  <si>
    <t>WK3</t>
  </si>
  <si>
    <t>WK4</t>
  </si>
  <si>
    <t>WK5</t>
  </si>
  <si>
    <t>WK6</t>
  </si>
  <si>
    <t>WK7</t>
  </si>
  <si>
    <t>Total samples positive</t>
  </si>
  <si>
    <t>Total Samples tested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</si>
  <si>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</si>
  <si>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</si>
  <si>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</si>
  <si>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</si>
  <si>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</si>
  <si>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</si>
  <si>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</si>
  <si>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</si>
  <si>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</si>
  <si>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</si>
  <si>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Combined SarsCov2 and Influenza</t>
  </si>
  <si>
    <t>WK26</t>
  </si>
  <si>
    <t>WK27</t>
  </si>
  <si>
    <t>WK28</t>
  </si>
  <si>
    <t>WK29</t>
  </si>
  <si>
    <t>WK30</t>
  </si>
  <si>
    <t>WK31</t>
  </si>
  <si>
    <t>Hospital Zimpeto</t>
  </si>
  <si>
    <t>Comunidade Zimpeto</t>
  </si>
  <si>
    <t>Hospital Zimpeto &amp; Comunidade Zimpeto</t>
  </si>
  <si>
    <t># Cases of Resp. Syndrome Reported at the Hospital Zimpeto</t>
  </si>
  <si>
    <t># Samples Tested Hospital Zimpeto</t>
  </si>
  <si>
    <t># Positive cases Hospital Zimpeto</t>
  </si>
  <si>
    <t>Positivity Hospital Zimpeto</t>
  </si>
  <si>
    <t># Cases reported at Comunidade Zimpeto</t>
  </si>
  <si>
    <t># Samples Tested Comunidade Zimpeto</t>
  </si>
  <si>
    <t># Positive cases Comunidade Zimpeto</t>
  </si>
  <si>
    <t>Positivity Comunidade Zimpeto</t>
  </si>
  <si>
    <t>Total cases reported at Hospital Zimpeto&amp;Comunidade Zimpeto</t>
  </si>
  <si>
    <t>SARS-CoV-2 Positivity Hospital Zimpeto</t>
  </si>
  <si>
    <t>Influenza Positivity Hospital Zimpeto</t>
  </si>
  <si>
    <t>SARS-CoV-2 Positivity Comunidade Zimpeto</t>
  </si>
  <si>
    <t>Influenza Positivity Comunidade Zimpeto</t>
  </si>
  <si>
    <t>WK32</t>
  </si>
  <si>
    <t>WK33</t>
  </si>
  <si>
    <t>WK34</t>
  </si>
  <si>
    <t>WK35</t>
  </si>
  <si>
    <t>WK36</t>
  </si>
  <si>
    <t>WK37</t>
  </si>
  <si>
    <t>WK38</t>
  </si>
  <si>
    <t>WK39</t>
  </si>
  <si>
    <t>WK40</t>
  </si>
  <si>
    <t>WK41</t>
  </si>
  <si>
    <t>WK42</t>
  </si>
  <si>
    <t>WK43</t>
  </si>
  <si>
    <t>WK44</t>
  </si>
  <si>
    <t>WK45</t>
  </si>
  <si>
    <t>WK46</t>
  </si>
  <si>
    <t>WK53</t>
  </si>
  <si>
    <t>WK54</t>
  </si>
  <si>
    <t>WK55</t>
  </si>
  <si>
    <t>WK56</t>
  </si>
  <si>
    <t>WK57</t>
  </si>
  <si>
    <t>WK58</t>
  </si>
  <si>
    <t>WK59</t>
  </si>
  <si>
    <t>WK60</t>
  </si>
  <si>
    <t>WK61</t>
  </si>
  <si>
    <t>WK62</t>
  </si>
  <si>
    <t>WK63</t>
  </si>
  <si>
    <t>WK64</t>
  </si>
  <si>
    <t>WK65</t>
  </si>
  <si>
    <t>WK66</t>
  </si>
  <si>
    <t>WK67</t>
  </si>
  <si>
    <t>WK68</t>
  </si>
  <si>
    <t>WK69</t>
  </si>
  <si>
    <t>semana</t>
  </si>
  <si>
    <t>ano</t>
  </si>
  <si>
    <t>casos</t>
  </si>
  <si>
    <t>Samples Tested Hospital Zimpeto</t>
  </si>
  <si>
    <t>Samples Tested Comunidade Zimpeto</t>
  </si>
  <si>
    <t>Positive cases Comunidade Zimpeto</t>
  </si>
  <si>
    <t xml:space="preserve"> #Positive cases Hospital Zimpeto</t>
  </si>
  <si>
    <t># Positivity Hospital Zimpeto</t>
  </si>
  <si>
    <t># Positivity Comunidade Zimpeto</t>
  </si>
  <si>
    <t>Semana Epi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</si>
</sst>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9">
    <xf numFmtId="0" fontId="0" fillId="0" borderId="0"/>
    <xf numFmtId="9" fontId="3" fillId="0" borderId="0" applyFont="0" applyFill="0" applyBorder="0" applyAlignment="0" applyProtection="0"/>
    <xf numFmtId="0" fontId="8" fillId="0" borderId="0"/>
    <xf numFmtId="0" fontId="9" fillId="0" borderId="0"/>
    <xf numFmtId="0" fontId="2" fillId="0" borderId="0"/>
    <xf numFmtId="0" fontId="3" fillId="0" borderId="0"/>
    <xf numFmtId="0" fontId="2" fillId="0" borderId="0"/>
    <xf numFmtId="0" fontId="9" fillId="0" borderId="0"/>
    <xf numFmtId="0" fontId="3" fillId="0" borderId="0"/>
    <xf numFmtId="0" fontId="2" fillId="0" borderId="0"/>
    <xf numFmtId="0" fontId="9" fillId="0" borderId="0"/>
    <xf numFmtId="0" fontId="3" fillId="0" borderId="0"/>
    <xf numFmtId="0" fontId="2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wrapText="1"/>
    </xf>
    <xf numFmtId="9" fontId="0" fillId="2" borderId="1" xfId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9" fontId="0" fillId="0" borderId="0" xfId="1" applyFont="1"/>
    <xf numFmtId="0" fontId="7" fillId="0" borderId="0" xfId="0" applyFont="1"/>
    <xf numFmtId="9" fontId="0" fillId="0" borderId="0" xfId="1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9" fontId="0" fillId="0" borderId="0" xfId="1" applyFont="1" applyFill="1" applyBorder="1"/>
    <xf numFmtId="9" fontId="0" fillId="3" borderId="1" xfId="1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 readingOrder="1"/>
    </xf>
    <xf numFmtId="164" fontId="0" fillId="3" borderId="1" xfId="0" applyNumberFormat="1" applyFill="1" applyBorder="1" applyAlignment="1">
      <alignment horizontal="center"/>
    </xf>
    <xf numFmtId="9" fontId="0" fillId="3" borderId="1" xfId="1" applyFont="1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9" fontId="0" fillId="5" borderId="1" xfId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9" fontId="7" fillId="5" borderId="1" xfId="1" applyFont="1" applyFill="1" applyBorder="1" applyAlignment="1">
      <alignment horizontal="center" wrapText="1"/>
    </xf>
    <xf numFmtId="9" fontId="6" fillId="2" borderId="1" xfId="1" applyFont="1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9" fontId="7" fillId="0" borderId="0" xfId="1" applyFont="1"/>
    <xf numFmtId="9" fontId="4" fillId="2" borderId="1" xfId="1" applyFont="1" applyFill="1" applyBorder="1" applyAlignment="1">
      <alignment wrapText="1"/>
    </xf>
    <xf numFmtId="9" fontId="0" fillId="2" borderId="1" xfId="1" applyFont="1" applyFill="1" applyBorder="1"/>
    <xf numFmtId="0" fontId="7" fillId="2" borderId="1" xfId="0" applyFont="1" applyFill="1" applyBorder="1"/>
    <xf numFmtId="0" fontId="7" fillId="4" borderId="0" xfId="0" applyFont="1" applyFill="1"/>
    <xf numFmtId="0" fontId="0" fillId="4" borderId="1" xfId="0" applyFill="1" applyBorder="1" applyAlignment="1">
      <alignment horizontal="right"/>
    </xf>
    <xf numFmtId="0" fontId="0" fillId="4" borderId="1" xfId="0" applyFill="1" applyBorder="1"/>
    <xf numFmtId="9" fontId="0" fillId="2" borderId="1" xfId="1" applyFont="1" applyFill="1" applyBorder="1" applyAlignment="1">
      <alignment horizontal="center"/>
    </xf>
    <xf numFmtId="9" fontId="7" fillId="0" borderId="0" xfId="1" applyFont="1" applyAlignment="1">
      <alignment horizontal="center"/>
    </xf>
    <xf numFmtId="0" fontId="0" fillId="6" borderId="0" xfId="0" applyFill="1"/>
    <xf numFmtId="0" fontId="0" fillId="7" borderId="0" xfId="0" applyFill="1"/>
    <xf numFmtId="0" fontId="7" fillId="7" borderId="1" xfId="0" applyFont="1" applyFill="1" applyBorder="1" applyAlignment="1">
      <alignment horizontal="center" wrapText="1"/>
    </xf>
    <xf numFmtId="0" fontId="7" fillId="8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</cellXfs>
  <cellStyles count="19">
    <cellStyle name="Normal" xfId="0" builtinId="0"/>
    <cellStyle name="Normal 2" xfId="2" xr:uid="{00000000-0005-0000-0000-000002000000}"/>
    <cellStyle name="Normal 2 2" xfId="3" xr:uid="{00000000-0005-0000-0000-000003000000}"/>
    <cellStyle name="Normal 2 2 2" xfId="6" xr:uid="{00000000-0005-0000-0000-000004000000}"/>
    <cellStyle name="Normal 2 2 2 2" xfId="7" xr:uid="{00000000-0005-0000-0000-000005000000}"/>
    <cellStyle name="Normal 2 2 2 3" xfId="16" xr:uid="{5EDB84D1-751D-423B-87D7-74E0FB22A6A9}"/>
    <cellStyle name="Normal 2 2 3" xfId="10" xr:uid="{00000000-0005-0000-0000-000006000000}"/>
    <cellStyle name="Normal 2 2 4" xfId="13" xr:uid="{00000000-0005-0000-0000-000007000000}"/>
    <cellStyle name="Normal 2 3" xfId="5" xr:uid="{00000000-0005-0000-0000-000008000000}"/>
    <cellStyle name="Normal 2 3 2" xfId="9" xr:uid="{00000000-0005-0000-0000-000009000000}"/>
    <cellStyle name="Normal 2 3 2 2" xfId="17" xr:uid="{10EEEC71-F306-4199-BFA9-1ED071F5ABBE}"/>
    <cellStyle name="Normal 2 4" xfId="12" xr:uid="{00000000-0005-0000-0000-00000A000000}"/>
    <cellStyle name="Normal 2 4 2" xfId="18" xr:uid="{E460DD61-D926-426C-AADF-54DE54CD3E24}"/>
    <cellStyle name="Normal 2 5" xfId="14" xr:uid="{9E0B5C1E-43BC-46C3-8B95-C0597CFA95FF}"/>
    <cellStyle name="Normal 3" xfId="4" xr:uid="{00000000-0005-0000-0000-00000B000000}"/>
    <cellStyle name="Normal 3 2" xfId="8" xr:uid="{00000000-0005-0000-0000-00000C000000}"/>
    <cellStyle name="Normal 3 3" xfId="15" xr:uid="{B4695E5A-9855-4B2D-9C5D-2088CE3E7989}"/>
    <cellStyle name="Normal 4" xfId="11" xr:uid="{00000000-0005-0000-0000-00000D000000}"/>
    <cellStyle name="Percent" xfId="1" builtinId="5"/>
  </cellStyles>
  <dxfs count="0"/>
  <tableStyles count="0" defaultTableStyle="TableStyleMedium2" defaultPivotStyle="PivotStyleLight16"/>
  <colors>
    <mruColors>
      <color rgb="FF156082"/>
      <color rgb="FFE971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SARS-CoV-2 Hospital Zimpeto</a:t>
            </a:r>
          </a:p>
        </c:rich>
      </c:tx>
      <c:layout>
        <c:manualLayout>
          <c:xMode val="edge"/>
          <c:yMode val="edge"/>
          <c:x val="0.45447551201376968"/>
          <c:y val="6.852104489724301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090155855689983E-2"/>
          <c:y val="0.172143508738237"/>
          <c:w val="0.91968653328823124"/>
          <c:h val="0.667258297617862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'SARS &amp; Flu HF&amp;Comm &amp;Typhi'!$D$6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'SARS &amp; Flu HF&amp;Comm &amp;Typhi'!$B$7:$C$61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&amp;Typhi'!$D$7:$D$61</c:f>
              <c:numCache>
                <c:formatCode>General</c:formatCode>
                <c:ptCount val="55"/>
                <c:pt idx="6">
                  <c:v>54</c:v>
                </c:pt>
                <c:pt idx="7">
                  <c:v>52</c:v>
                </c:pt>
                <c:pt idx="8">
                  <c:v>48</c:v>
                </c:pt>
                <c:pt idx="9">
                  <c:v>48</c:v>
                </c:pt>
                <c:pt idx="10">
                  <c:v>125</c:v>
                </c:pt>
                <c:pt idx="11">
                  <c:v>142</c:v>
                </c:pt>
                <c:pt idx="12">
                  <c:v>169</c:v>
                </c:pt>
                <c:pt idx="13">
                  <c:v>134</c:v>
                </c:pt>
                <c:pt idx="14">
                  <c:v>139</c:v>
                </c:pt>
                <c:pt idx="15">
                  <c:v>115</c:v>
                </c:pt>
                <c:pt idx="16">
                  <c:v>83</c:v>
                </c:pt>
                <c:pt idx="17">
                  <c:v>229</c:v>
                </c:pt>
                <c:pt idx="18">
                  <c:v>196</c:v>
                </c:pt>
                <c:pt idx="19">
                  <c:v>298</c:v>
                </c:pt>
                <c:pt idx="20">
                  <c:v>263</c:v>
                </c:pt>
                <c:pt idx="21">
                  <c:v>230</c:v>
                </c:pt>
                <c:pt idx="22">
                  <c:v>282</c:v>
                </c:pt>
                <c:pt idx="23">
                  <c:v>353</c:v>
                </c:pt>
                <c:pt idx="24">
                  <c:v>553</c:v>
                </c:pt>
                <c:pt idx="25">
                  <c:v>541</c:v>
                </c:pt>
                <c:pt idx="26">
                  <c:v>445</c:v>
                </c:pt>
                <c:pt idx="27">
                  <c:v>667</c:v>
                </c:pt>
                <c:pt idx="28">
                  <c:v>621</c:v>
                </c:pt>
                <c:pt idx="29">
                  <c:v>724</c:v>
                </c:pt>
                <c:pt idx="30">
                  <c:v>651</c:v>
                </c:pt>
                <c:pt idx="31">
                  <c:v>554</c:v>
                </c:pt>
                <c:pt idx="32">
                  <c:v>613</c:v>
                </c:pt>
                <c:pt idx="33">
                  <c:v>685</c:v>
                </c:pt>
                <c:pt idx="34">
                  <c:v>680</c:v>
                </c:pt>
                <c:pt idx="35">
                  <c:v>641</c:v>
                </c:pt>
                <c:pt idx="36">
                  <c:v>595</c:v>
                </c:pt>
                <c:pt idx="37">
                  <c:v>753</c:v>
                </c:pt>
                <c:pt idx="38">
                  <c:v>635</c:v>
                </c:pt>
                <c:pt idx="39">
                  <c:v>668</c:v>
                </c:pt>
                <c:pt idx="40">
                  <c:v>601</c:v>
                </c:pt>
                <c:pt idx="41">
                  <c:v>634</c:v>
                </c:pt>
                <c:pt idx="42">
                  <c:v>740</c:v>
                </c:pt>
                <c:pt idx="43">
                  <c:v>610</c:v>
                </c:pt>
                <c:pt idx="44">
                  <c:v>569</c:v>
                </c:pt>
                <c:pt idx="45">
                  <c:v>660</c:v>
                </c:pt>
                <c:pt idx="46">
                  <c:v>751</c:v>
                </c:pt>
                <c:pt idx="47">
                  <c:v>699</c:v>
                </c:pt>
                <c:pt idx="48">
                  <c:v>711</c:v>
                </c:pt>
                <c:pt idx="49">
                  <c:v>585</c:v>
                </c:pt>
                <c:pt idx="50">
                  <c:v>908</c:v>
                </c:pt>
                <c:pt idx="51">
                  <c:v>930</c:v>
                </c:pt>
                <c:pt idx="52">
                  <c:v>729</c:v>
                </c:pt>
                <c:pt idx="53">
                  <c:v>742</c:v>
                </c:pt>
                <c:pt idx="54">
                  <c:v>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C-41A0-AADC-5362442581D2}"/>
            </c:ext>
          </c:extLst>
        </c:ser>
        <c:ser>
          <c:idx val="1"/>
          <c:order val="1"/>
          <c:tx>
            <c:strRef>
              <c:f>'SARS &amp; Flu HF&amp;Comm &amp;Typhi'!$E$6</c:f>
              <c:strCache>
                <c:ptCount val="1"/>
                <c:pt idx="0">
                  <c:v># Samples Tested Hospital Zimpeto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'SARS &amp; Flu HF&amp;Comm &amp;Typhi'!$B$7:$C$61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&amp;Typhi'!$E$7:$E$61</c:f>
              <c:numCache>
                <c:formatCode>General</c:formatCode>
                <c:ptCount val="55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1</c:v>
                </c:pt>
                <c:pt idx="4">
                  <c:v>14</c:v>
                </c:pt>
                <c:pt idx="5">
                  <c:v>0</c:v>
                </c:pt>
                <c:pt idx="6">
                  <c:v>2</c:v>
                </c:pt>
                <c:pt idx="7">
                  <c:v>11</c:v>
                </c:pt>
                <c:pt idx="8">
                  <c:v>6</c:v>
                </c:pt>
                <c:pt idx="9">
                  <c:v>0</c:v>
                </c:pt>
                <c:pt idx="10">
                  <c:v>6</c:v>
                </c:pt>
                <c:pt idx="11">
                  <c:v>21</c:v>
                </c:pt>
                <c:pt idx="12">
                  <c:v>14</c:v>
                </c:pt>
                <c:pt idx="13">
                  <c:v>17</c:v>
                </c:pt>
                <c:pt idx="14">
                  <c:v>26</c:v>
                </c:pt>
                <c:pt idx="15">
                  <c:v>26</c:v>
                </c:pt>
                <c:pt idx="16">
                  <c:v>25</c:v>
                </c:pt>
                <c:pt idx="17">
                  <c:v>12</c:v>
                </c:pt>
                <c:pt idx="18">
                  <c:v>30</c:v>
                </c:pt>
                <c:pt idx="19">
                  <c:v>18</c:v>
                </c:pt>
                <c:pt idx="20">
                  <c:v>13</c:v>
                </c:pt>
                <c:pt idx="21">
                  <c:v>20</c:v>
                </c:pt>
                <c:pt idx="22">
                  <c:v>2</c:v>
                </c:pt>
                <c:pt idx="23">
                  <c:v>23</c:v>
                </c:pt>
                <c:pt idx="24">
                  <c:v>26</c:v>
                </c:pt>
                <c:pt idx="25">
                  <c:v>25</c:v>
                </c:pt>
                <c:pt idx="26">
                  <c:v>23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10</c:v>
                </c:pt>
                <c:pt idx="31">
                  <c:v>18</c:v>
                </c:pt>
                <c:pt idx="32">
                  <c:v>25</c:v>
                </c:pt>
                <c:pt idx="33">
                  <c:v>25</c:v>
                </c:pt>
                <c:pt idx="34">
                  <c:v>24</c:v>
                </c:pt>
                <c:pt idx="35">
                  <c:v>24</c:v>
                </c:pt>
                <c:pt idx="36">
                  <c:v>17</c:v>
                </c:pt>
                <c:pt idx="37">
                  <c:v>16</c:v>
                </c:pt>
                <c:pt idx="38">
                  <c:v>13</c:v>
                </c:pt>
                <c:pt idx="39">
                  <c:v>15</c:v>
                </c:pt>
                <c:pt idx="40">
                  <c:v>13</c:v>
                </c:pt>
                <c:pt idx="41">
                  <c:v>15</c:v>
                </c:pt>
                <c:pt idx="42">
                  <c:v>14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14</c:v>
                </c:pt>
                <c:pt idx="52">
                  <c:v>14</c:v>
                </c:pt>
                <c:pt idx="53">
                  <c:v>12</c:v>
                </c:pt>
                <c:pt idx="5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1C-41A0-AADC-5362442581D2}"/>
            </c:ext>
          </c:extLst>
        </c:ser>
        <c:ser>
          <c:idx val="2"/>
          <c:order val="2"/>
          <c:tx>
            <c:strRef>
              <c:f>'SARS &amp; Flu HF&amp;Comm &amp;Typhi'!$F$6</c:f>
              <c:strCache>
                <c:ptCount val="1"/>
                <c:pt idx="0">
                  <c:v># Positive cases Hospital Zimpeto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'SARS &amp; Flu HF&amp;Comm &amp;Typhi'!$B$7:$C$61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&amp;Typhi'!$F$7:$F$61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2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1C-41A0-AADC-5362442581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175104"/>
        <c:axId val="126176640"/>
      </c:barChart>
      <c:lineChart>
        <c:grouping val="standard"/>
        <c:varyColors val="0"/>
        <c:ser>
          <c:idx val="3"/>
          <c:order val="3"/>
          <c:tx>
            <c:strRef>
              <c:f>'SARS &amp; Flu HF&amp;Comm &amp;Typhi'!$G$6</c:f>
              <c:strCache>
                <c:ptCount val="1"/>
                <c:pt idx="0">
                  <c:v>Positivity Hospital Zimpeto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'SARS &amp; Flu HF&amp;Comm &amp;Typhi'!$B$7:$C$61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&amp;Typhi'!$G$7:$G$61</c:f>
              <c:numCache>
                <c:formatCode>0%</c:formatCode>
                <c:ptCount val="55"/>
                <c:pt idx="0">
                  <c:v>8.3333333333333329E-2</c:v>
                </c:pt>
                <c:pt idx="1">
                  <c:v>0.18181818181818182</c:v>
                </c:pt>
                <c:pt idx="2">
                  <c:v>0.6</c:v>
                </c:pt>
                <c:pt idx="3">
                  <c:v>0</c:v>
                </c:pt>
                <c:pt idx="4">
                  <c:v>0.42857142857142855</c:v>
                </c:pt>
                <c:pt idx="5">
                  <c:v>0</c:v>
                </c:pt>
                <c:pt idx="6">
                  <c:v>0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4.7619047619047616E-2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3.8461538461538464E-2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4.3478260869565216E-2</c:v>
                </c:pt>
                <c:pt idx="24">
                  <c:v>3.8461538461538464E-2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6.6666666666666666E-2</c:v>
                </c:pt>
                <c:pt idx="44">
                  <c:v>0</c:v>
                </c:pt>
                <c:pt idx="45">
                  <c:v>0</c:v>
                </c:pt>
                <c:pt idx="46">
                  <c:v>6.6666666666666666E-2</c:v>
                </c:pt>
                <c:pt idx="47">
                  <c:v>0</c:v>
                </c:pt>
                <c:pt idx="48">
                  <c:v>0.13333333333333333</c:v>
                </c:pt>
                <c:pt idx="49">
                  <c:v>6.6666666666666666E-2</c:v>
                </c:pt>
                <c:pt idx="50">
                  <c:v>0.13333333333333333</c:v>
                </c:pt>
                <c:pt idx="51">
                  <c:v>7.1428571428571425E-2</c:v>
                </c:pt>
                <c:pt idx="52">
                  <c:v>0</c:v>
                </c:pt>
                <c:pt idx="53">
                  <c:v>8.3333333333333329E-2</c:v>
                </c:pt>
                <c:pt idx="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1C-41A0-AADC-5362442581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3894144"/>
        <c:axId val="127351040"/>
      </c:lineChart>
      <c:catAx>
        <c:axId val="12617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76640"/>
        <c:crosses val="autoZero"/>
        <c:auto val="1"/>
        <c:lblAlgn val="ctr"/>
        <c:lblOffset val="100"/>
        <c:noMultiLvlLbl val="0"/>
      </c:catAx>
      <c:valAx>
        <c:axId val="12617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75104"/>
        <c:crosses val="autoZero"/>
        <c:crossBetween val="between"/>
      </c:valAx>
      <c:valAx>
        <c:axId val="12735104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4144"/>
        <c:crosses val="max"/>
        <c:crossBetween val="between"/>
      </c:valAx>
      <c:catAx>
        <c:axId val="133894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7351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727587565931257"/>
          <c:y val="0.9408694799386832"/>
          <c:w val="0.74052690493238416"/>
          <c:h val="5.09822299402908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Influenza Hospital Zimpeto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4007695571694543E-2"/>
          <c:y val="7.911410533443225E-2"/>
          <c:w val="0.92175428163900963"/>
          <c:h val="0.771120149237543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'SARS &amp; Flu HF&amp;Comm &amp;Typhi'!$D$71</c:f>
              <c:strCache>
                <c:ptCount val="1"/>
                <c:pt idx="0">
                  <c:v># Cases of Resp. Syndrome Reported at the Hospital Zimpeto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'SARS &amp; Flu HF&amp;Comm &amp;Typhi'!$B$72:$C$126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&amp;Typhi'!$D$72:$D$126</c:f>
              <c:numCache>
                <c:formatCode>yyyy\-mm\-dd;@</c:formatCode>
                <c:ptCount val="55"/>
                <c:pt idx="6" formatCode="General">
                  <c:v>54</c:v>
                </c:pt>
                <c:pt idx="7" formatCode="General">
                  <c:v>52</c:v>
                </c:pt>
                <c:pt idx="8" formatCode="General">
                  <c:v>48</c:v>
                </c:pt>
                <c:pt idx="9" formatCode="General">
                  <c:v>48</c:v>
                </c:pt>
                <c:pt idx="10" formatCode="General">
                  <c:v>125</c:v>
                </c:pt>
                <c:pt idx="11" formatCode="General">
                  <c:v>142</c:v>
                </c:pt>
                <c:pt idx="12" formatCode="General">
                  <c:v>169</c:v>
                </c:pt>
                <c:pt idx="13" formatCode="General">
                  <c:v>134</c:v>
                </c:pt>
                <c:pt idx="14" formatCode="General">
                  <c:v>139</c:v>
                </c:pt>
                <c:pt idx="15" formatCode="General">
                  <c:v>115</c:v>
                </c:pt>
                <c:pt idx="16" formatCode="General">
                  <c:v>83</c:v>
                </c:pt>
                <c:pt idx="17" formatCode="General">
                  <c:v>229</c:v>
                </c:pt>
                <c:pt idx="18" formatCode="General">
                  <c:v>196</c:v>
                </c:pt>
                <c:pt idx="19" formatCode="General">
                  <c:v>298</c:v>
                </c:pt>
                <c:pt idx="20" formatCode="General">
                  <c:v>263</c:v>
                </c:pt>
                <c:pt idx="21" formatCode="General">
                  <c:v>230</c:v>
                </c:pt>
                <c:pt idx="22" formatCode="General">
                  <c:v>282</c:v>
                </c:pt>
                <c:pt idx="23" formatCode="General">
                  <c:v>353</c:v>
                </c:pt>
                <c:pt idx="24" formatCode="General">
                  <c:v>553</c:v>
                </c:pt>
                <c:pt idx="25" formatCode="General">
                  <c:v>541</c:v>
                </c:pt>
                <c:pt idx="26" formatCode="General">
                  <c:v>445</c:v>
                </c:pt>
                <c:pt idx="27" formatCode="General">
                  <c:v>667</c:v>
                </c:pt>
                <c:pt idx="28" formatCode="General">
                  <c:v>621</c:v>
                </c:pt>
                <c:pt idx="29" formatCode="General">
                  <c:v>724</c:v>
                </c:pt>
                <c:pt idx="30" formatCode="General">
                  <c:v>651</c:v>
                </c:pt>
                <c:pt idx="31" formatCode="General">
                  <c:v>554</c:v>
                </c:pt>
                <c:pt idx="32" formatCode="General">
                  <c:v>613</c:v>
                </c:pt>
                <c:pt idx="33" formatCode="General">
                  <c:v>685</c:v>
                </c:pt>
                <c:pt idx="34" formatCode="General">
                  <c:v>680</c:v>
                </c:pt>
                <c:pt idx="35" formatCode="General">
                  <c:v>641</c:v>
                </c:pt>
                <c:pt idx="36" formatCode="General">
                  <c:v>595</c:v>
                </c:pt>
                <c:pt idx="37" formatCode="General">
                  <c:v>753</c:v>
                </c:pt>
                <c:pt idx="38" formatCode="General">
                  <c:v>635</c:v>
                </c:pt>
                <c:pt idx="39" formatCode="General">
                  <c:v>668</c:v>
                </c:pt>
                <c:pt idx="40" formatCode="General">
                  <c:v>601</c:v>
                </c:pt>
                <c:pt idx="41" formatCode="General">
                  <c:v>634</c:v>
                </c:pt>
                <c:pt idx="42" formatCode="General">
                  <c:v>740</c:v>
                </c:pt>
                <c:pt idx="43" formatCode="General">
                  <c:v>610</c:v>
                </c:pt>
                <c:pt idx="44" formatCode="General">
                  <c:v>569</c:v>
                </c:pt>
                <c:pt idx="45" formatCode="General">
                  <c:v>660</c:v>
                </c:pt>
                <c:pt idx="46" formatCode="General">
                  <c:v>751</c:v>
                </c:pt>
                <c:pt idx="47" formatCode="General">
                  <c:v>699</c:v>
                </c:pt>
                <c:pt idx="48" formatCode="General">
                  <c:v>711</c:v>
                </c:pt>
                <c:pt idx="49" formatCode="General">
                  <c:v>585</c:v>
                </c:pt>
                <c:pt idx="50" formatCode="General">
                  <c:v>908</c:v>
                </c:pt>
                <c:pt idx="51" formatCode="General">
                  <c:v>930</c:v>
                </c:pt>
                <c:pt idx="52" formatCode="General">
                  <c:v>729</c:v>
                </c:pt>
                <c:pt idx="53" formatCode="General">
                  <c:v>742</c:v>
                </c:pt>
                <c:pt idx="54" formatCode="General">
                  <c:v>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6-4DDB-9591-24EA52464A8D}"/>
            </c:ext>
          </c:extLst>
        </c:ser>
        <c:ser>
          <c:idx val="1"/>
          <c:order val="1"/>
          <c:tx>
            <c:strRef>
              <c:f>'SARS &amp; Flu HF&amp;Comm &amp;Typhi'!$E$71</c:f>
              <c:strCache>
                <c:ptCount val="1"/>
                <c:pt idx="0">
                  <c:v># Samples Tested Hospital Zimpeto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'SARS &amp; Flu HF&amp;Comm &amp;Typhi'!$B$72:$C$126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&amp;Typhi'!$E$72:$E$126</c:f>
              <c:numCache>
                <c:formatCode>General</c:formatCode>
                <c:ptCount val="55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1</c:v>
                </c:pt>
                <c:pt idx="4">
                  <c:v>14</c:v>
                </c:pt>
                <c:pt idx="5">
                  <c:v>0</c:v>
                </c:pt>
                <c:pt idx="6">
                  <c:v>2</c:v>
                </c:pt>
                <c:pt idx="7">
                  <c:v>11</c:v>
                </c:pt>
                <c:pt idx="8">
                  <c:v>6</c:v>
                </c:pt>
                <c:pt idx="9">
                  <c:v>0</c:v>
                </c:pt>
                <c:pt idx="10">
                  <c:v>6</c:v>
                </c:pt>
                <c:pt idx="11">
                  <c:v>21</c:v>
                </c:pt>
                <c:pt idx="12">
                  <c:v>14</c:v>
                </c:pt>
                <c:pt idx="13">
                  <c:v>17</c:v>
                </c:pt>
                <c:pt idx="14">
                  <c:v>26</c:v>
                </c:pt>
                <c:pt idx="15">
                  <c:v>26</c:v>
                </c:pt>
                <c:pt idx="16">
                  <c:v>25</c:v>
                </c:pt>
                <c:pt idx="17">
                  <c:v>12</c:v>
                </c:pt>
                <c:pt idx="18">
                  <c:v>30</c:v>
                </c:pt>
                <c:pt idx="19">
                  <c:v>18</c:v>
                </c:pt>
                <c:pt idx="20">
                  <c:v>13</c:v>
                </c:pt>
                <c:pt idx="21">
                  <c:v>20</c:v>
                </c:pt>
                <c:pt idx="22">
                  <c:v>2</c:v>
                </c:pt>
                <c:pt idx="23">
                  <c:v>23</c:v>
                </c:pt>
                <c:pt idx="24">
                  <c:v>26</c:v>
                </c:pt>
                <c:pt idx="25">
                  <c:v>25</c:v>
                </c:pt>
                <c:pt idx="26">
                  <c:v>23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10</c:v>
                </c:pt>
                <c:pt idx="31">
                  <c:v>18</c:v>
                </c:pt>
                <c:pt idx="32">
                  <c:v>25</c:v>
                </c:pt>
                <c:pt idx="33">
                  <c:v>25</c:v>
                </c:pt>
                <c:pt idx="34">
                  <c:v>24</c:v>
                </c:pt>
                <c:pt idx="35">
                  <c:v>24</c:v>
                </c:pt>
                <c:pt idx="36">
                  <c:v>17</c:v>
                </c:pt>
                <c:pt idx="37">
                  <c:v>16</c:v>
                </c:pt>
                <c:pt idx="38">
                  <c:v>13</c:v>
                </c:pt>
                <c:pt idx="39">
                  <c:v>15</c:v>
                </c:pt>
                <c:pt idx="40">
                  <c:v>13</c:v>
                </c:pt>
                <c:pt idx="41">
                  <c:v>15</c:v>
                </c:pt>
                <c:pt idx="42">
                  <c:v>14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14</c:v>
                </c:pt>
                <c:pt idx="52">
                  <c:v>14</c:v>
                </c:pt>
                <c:pt idx="53">
                  <c:v>12</c:v>
                </c:pt>
                <c:pt idx="5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C6-4DDB-9591-24EA52464A8D}"/>
            </c:ext>
          </c:extLst>
        </c:ser>
        <c:ser>
          <c:idx val="2"/>
          <c:order val="2"/>
          <c:tx>
            <c:strRef>
              <c:f>'SARS &amp; Flu HF&amp;Comm &amp;Typhi'!$F$71</c:f>
              <c:strCache>
                <c:ptCount val="1"/>
                <c:pt idx="0">
                  <c:v># Positive cases Hospital Zimpeto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'SARS &amp; Flu HF&amp;Comm &amp;Typhi'!$B$72:$C$126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&amp;Typhi'!$F$72:$F$126</c:f>
              <c:numCache>
                <c:formatCode>General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0</c:v>
                </c:pt>
                <c:pt idx="21">
                  <c:v>4</c:v>
                </c:pt>
                <c:pt idx="22">
                  <c:v>0</c:v>
                </c:pt>
                <c:pt idx="23">
                  <c:v>6</c:v>
                </c:pt>
                <c:pt idx="24">
                  <c:v>7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6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4</c:v>
                </c:pt>
                <c:pt idx="36">
                  <c:v>1</c:v>
                </c:pt>
                <c:pt idx="37">
                  <c:v>3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4</c:v>
                </c:pt>
                <c:pt idx="48">
                  <c:v>5</c:v>
                </c:pt>
                <c:pt idx="49">
                  <c:v>8</c:v>
                </c:pt>
                <c:pt idx="50">
                  <c:v>6</c:v>
                </c:pt>
                <c:pt idx="51">
                  <c:v>11</c:v>
                </c:pt>
                <c:pt idx="52">
                  <c:v>10</c:v>
                </c:pt>
                <c:pt idx="53">
                  <c:v>10</c:v>
                </c:pt>
                <c:pt idx="5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C6-4DDB-9591-24EA52464A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294272"/>
        <c:axId val="102295808"/>
      </c:barChart>
      <c:lineChart>
        <c:grouping val="standard"/>
        <c:varyColors val="0"/>
        <c:ser>
          <c:idx val="3"/>
          <c:order val="3"/>
          <c:tx>
            <c:strRef>
              <c:f>'SARS &amp; Flu HF&amp;Comm &amp;Typhi'!$G$71</c:f>
              <c:strCache>
                <c:ptCount val="1"/>
                <c:pt idx="0">
                  <c:v>Positivity Hospital Zimpeto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'SARS &amp; Flu HF&amp;Comm &amp;Typhi'!$B$72:$C$126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&amp;Typhi'!$G$72:$G$126</c:f>
              <c:numCache>
                <c:formatCode>0%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7.1428571428571425E-2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8.3333333333333329E-2</c:v>
                </c:pt>
                <c:pt idx="18">
                  <c:v>6.6666666666666666E-2</c:v>
                </c:pt>
                <c:pt idx="19">
                  <c:v>0.16666666666666666</c:v>
                </c:pt>
                <c:pt idx="20">
                  <c:v>0</c:v>
                </c:pt>
                <c:pt idx="21">
                  <c:v>0.2</c:v>
                </c:pt>
                <c:pt idx="22">
                  <c:v>0</c:v>
                </c:pt>
                <c:pt idx="23">
                  <c:v>0.2608695652173913</c:v>
                </c:pt>
                <c:pt idx="24">
                  <c:v>0.26923076923076922</c:v>
                </c:pt>
                <c:pt idx="25">
                  <c:v>0.12</c:v>
                </c:pt>
                <c:pt idx="26">
                  <c:v>8.6956521739130432E-2</c:v>
                </c:pt>
                <c:pt idx="27">
                  <c:v>0.04</c:v>
                </c:pt>
                <c:pt idx="28">
                  <c:v>0.24</c:v>
                </c:pt>
                <c:pt idx="29">
                  <c:v>0</c:v>
                </c:pt>
                <c:pt idx="30">
                  <c:v>0</c:v>
                </c:pt>
                <c:pt idx="31">
                  <c:v>0.1111111111111111</c:v>
                </c:pt>
                <c:pt idx="32">
                  <c:v>0.12</c:v>
                </c:pt>
                <c:pt idx="33">
                  <c:v>0.04</c:v>
                </c:pt>
                <c:pt idx="34">
                  <c:v>8.3333333333333329E-2</c:v>
                </c:pt>
                <c:pt idx="35">
                  <c:v>0.16666666666666666</c:v>
                </c:pt>
                <c:pt idx="36">
                  <c:v>5.8823529411764705E-2</c:v>
                </c:pt>
                <c:pt idx="37">
                  <c:v>0.1875</c:v>
                </c:pt>
                <c:pt idx="38">
                  <c:v>7.6923076923076927E-2</c:v>
                </c:pt>
                <c:pt idx="39">
                  <c:v>6.6666666666666666E-2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0.13333333333333333</c:v>
                </c:pt>
                <c:pt idx="44">
                  <c:v>6.6666666666666666E-2</c:v>
                </c:pt>
                <c:pt idx="45">
                  <c:v>0</c:v>
                </c:pt>
                <c:pt idx="46">
                  <c:v>0</c:v>
                </c:pt>
                <c:pt idx="47">
                  <c:v>0.26666666666666666</c:v>
                </c:pt>
                <c:pt idx="48">
                  <c:v>0.33333333333333331</c:v>
                </c:pt>
                <c:pt idx="49">
                  <c:v>0.53333333333333333</c:v>
                </c:pt>
                <c:pt idx="50">
                  <c:v>0.4</c:v>
                </c:pt>
                <c:pt idx="51">
                  <c:v>0.7857142857142857</c:v>
                </c:pt>
                <c:pt idx="52">
                  <c:v>0.7142857142857143</c:v>
                </c:pt>
                <c:pt idx="53">
                  <c:v>0.83333333333333337</c:v>
                </c:pt>
                <c:pt idx="54">
                  <c:v>0.20833333333333334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C6-4DDB-9591-24EA52464A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311424"/>
        <c:axId val="102309888"/>
      </c:lineChart>
      <c:catAx>
        <c:axId val="10229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5808"/>
        <c:crosses val="autoZero"/>
        <c:auto val="1"/>
        <c:lblAlgn val="ctr"/>
        <c:lblOffset val="100"/>
        <c:noMultiLvlLbl val="0"/>
      </c:catAx>
      <c:valAx>
        <c:axId val="10229580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4272"/>
        <c:crosses val="autoZero"/>
        <c:crossBetween val="between"/>
      </c:valAx>
      <c:valAx>
        <c:axId val="102309888"/>
        <c:scaling>
          <c:orientation val="minMax"/>
          <c:max val="0.8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11424"/>
        <c:crosses val="max"/>
        <c:crossBetween val="between"/>
      </c:valAx>
      <c:catAx>
        <c:axId val="1023114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2309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14313418245E-2"/>
          <c:y val="0.92861564369677296"/>
          <c:w val="0.89999997137316345"/>
          <c:h val="5.9769311802516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SARS-CoV-2 Combined</a:t>
            </a:r>
            <a:r>
              <a:rPr lang="en-GB" b="1" baseline="0"/>
              <a:t> Hospital Zimpeto &amp; Comunidade Zimpeto</a:t>
            </a:r>
            <a:endParaRPr lang="en-GB" b="1"/>
          </a:p>
        </c:rich>
      </c:tx>
      <c:layout>
        <c:manualLayout>
          <c:xMode val="edge"/>
          <c:yMode val="edge"/>
          <c:x val="0.45447551201376968"/>
          <c:y val="6.852104489724301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9963591080454976E-2"/>
          <c:y val="0.17214353080516773"/>
          <c:w val="0.91968653328823124"/>
          <c:h val="0.667258297617862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'SARS &amp; Flu HF&amp;Comm &amp;Typhi'!$L$6</c:f>
              <c:strCache>
                <c:ptCount val="1"/>
                <c:pt idx="0">
                  <c:v>Total cases reported at Hospital Zimpeto&amp;Comunidade Zimpeto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'SARS &amp; Flu HF&amp;Comm &amp;Typhi'!$C$7:$C$61</c:f>
              <c:strCache>
                <c:ptCount val="55"/>
                <c:pt idx="0">
                  <c:v>WK47</c:v>
                </c:pt>
                <c:pt idx="1">
                  <c:v>WK48</c:v>
                </c:pt>
                <c:pt idx="2">
                  <c:v>WK49</c:v>
                </c:pt>
                <c:pt idx="3">
                  <c:v>WK50</c:v>
                </c:pt>
                <c:pt idx="4">
                  <c:v>WK51</c:v>
                </c:pt>
                <c:pt idx="5">
                  <c:v>WK52</c:v>
                </c:pt>
                <c:pt idx="6">
                  <c:v>Wk1</c:v>
                </c:pt>
                <c:pt idx="7">
                  <c:v>WK2</c:v>
                </c:pt>
                <c:pt idx="8">
                  <c:v>WK3</c:v>
                </c:pt>
                <c:pt idx="9">
                  <c:v>WK4</c:v>
                </c:pt>
                <c:pt idx="10">
                  <c:v>WK5</c:v>
                </c:pt>
                <c:pt idx="11">
                  <c:v>WK6</c:v>
                </c:pt>
                <c:pt idx="12">
                  <c:v>WK7</c:v>
                </c:pt>
                <c:pt idx="13">
                  <c:v>WK8</c:v>
                </c:pt>
                <c:pt idx="14">
                  <c:v>WK9</c:v>
                </c:pt>
                <c:pt idx="15">
                  <c:v>WK10</c:v>
                </c:pt>
                <c:pt idx="16">
                  <c:v>WK11</c:v>
                </c:pt>
                <c:pt idx="17">
                  <c:v>WK12</c:v>
                </c:pt>
                <c:pt idx="18">
                  <c:v>WK13</c:v>
                </c:pt>
                <c:pt idx="19">
                  <c:v>WK14</c:v>
                </c:pt>
                <c:pt idx="20">
                  <c:v>WK15</c:v>
                </c:pt>
                <c:pt idx="21">
                  <c:v>WK16</c:v>
                </c:pt>
                <c:pt idx="22">
                  <c:v>WK17</c:v>
                </c:pt>
                <c:pt idx="23">
                  <c:v>WK18</c:v>
                </c:pt>
                <c:pt idx="24">
                  <c:v>WK19</c:v>
                </c:pt>
                <c:pt idx="25">
                  <c:v>WK20</c:v>
                </c:pt>
                <c:pt idx="26">
                  <c:v>WK21</c:v>
                </c:pt>
                <c:pt idx="27">
                  <c:v>WK22</c:v>
                </c:pt>
                <c:pt idx="28">
                  <c:v>WK23</c:v>
                </c:pt>
                <c:pt idx="29">
                  <c:v>WK24</c:v>
                </c:pt>
                <c:pt idx="30">
                  <c:v>WK25</c:v>
                </c:pt>
                <c:pt idx="31">
                  <c:v>WK26</c:v>
                </c:pt>
                <c:pt idx="32">
                  <c:v>WK27</c:v>
                </c:pt>
                <c:pt idx="33">
                  <c:v>WK28</c:v>
                </c:pt>
                <c:pt idx="34">
                  <c:v>WK29</c:v>
                </c:pt>
                <c:pt idx="35">
                  <c:v>WK30</c:v>
                </c:pt>
                <c:pt idx="36">
                  <c:v>WK31</c:v>
                </c:pt>
                <c:pt idx="37">
                  <c:v>WK32</c:v>
                </c:pt>
                <c:pt idx="38">
                  <c:v>WK33</c:v>
                </c:pt>
                <c:pt idx="39">
                  <c:v>WK34</c:v>
                </c:pt>
                <c:pt idx="40">
                  <c:v>WK35</c:v>
                </c:pt>
                <c:pt idx="41">
                  <c:v>WK36</c:v>
                </c:pt>
                <c:pt idx="42">
                  <c:v>WK37</c:v>
                </c:pt>
                <c:pt idx="43">
                  <c:v>WK38</c:v>
                </c:pt>
                <c:pt idx="44">
                  <c:v>WK39</c:v>
                </c:pt>
                <c:pt idx="45">
                  <c:v>WK40</c:v>
                </c:pt>
                <c:pt idx="46">
                  <c:v>WK41</c:v>
                </c:pt>
                <c:pt idx="47">
                  <c:v>WK42</c:v>
                </c:pt>
                <c:pt idx="48">
                  <c:v>WK43</c:v>
                </c:pt>
                <c:pt idx="49">
                  <c:v>WK44</c:v>
                </c:pt>
                <c:pt idx="50">
                  <c:v>WK45</c:v>
                </c:pt>
                <c:pt idx="51">
                  <c:v>WK46</c:v>
                </c:pt>
                <c:pt idx="52">
                  <c:v>WK47</c:v>
                </c:pt>
                <c:pt idx="53">
                  <c:v>WK48</c:v>
                </c:pt>
                <c:pt idx="54">
                  <c:v>WK49</c:v>
                </c:pt>
              </c:strCache>
            </c:strRef>
          </c:cat>
          <c:val>
            <c:numRef>
              <c:f>'SARS &amp; Flu HF&amp;Comm &amp;Typhi'!$L$7:$L$61</c:f>
              <c:numCache>
                <c:formatCode>General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54</c:v>
                </c:pt>
                <c:pt idx="7">
                  <c:v>52</c:v>
                </c:pt>
                <c:pt idx="8">
                  <c:v>48</c:v>
                </c:pt>
                <c:pt idx="9">
                  <c:v>48</c:v>
                </c:pt>
                <c:pt idx="10">
                  <c:v>125</c:v>
                </c:pt>
                <c:pt idx="11">
                  <c:v>142</c:v>
                </c:pt>
                <c:pt idx="12">
                  <c:v>169</c:v>
                </c:pt>
                <c:pt idx="13">
                  <c:v>154</c:v>
                </c:pt>
                <c:pt idx="14">
                  <c:v>166</c:v>
                </c:pt>
                <c:pt idx="15">
                  <c:v>132</c:v>
                </c:pt>
                <c:pt idx="16">
                  <c:v>103</c:v>
                </c:pt>
                <c:pt idx="17">
                  <c:v>253</c:v>
                </c:pt>
                <c:pt idx="18">
                  <c:v>230</c:v>
                </c:pt>
                <c:pt idx="19">
                  <c:v>317</c:v>
                </c:pt>
                <c:pt idx="20">
                  <c:v>305</c:v>
                </c:pt>
                <c:pt idx="21">
                  <c:v>260</c:v>
                </c:pt>
                <c:pt idx="22">
                  <c:v>323</c:v>
                </c:pt>
                <c:pt idx="23">
                  <c:v>379</c:v>
                </c:pt>
                <c:pt idx="24">
                  <c:v>553</c:v>
                </c:pt>
                <c:pt idx="25">
                  <c:v>577</c:v>
                </c:pt>
                <c:pt idx="26">
                  <c:v>500</c:v>
                </c:pt>
                <c:pt idx="27">
                  <c:v>698</c:v>
                </c:pt>
                <c:pt idx="28">
                  <c:v>659</c:v>
                </c:pt>
                <c:pt idx="29">
                  <c:v>771</c:v>
                </c:pt>
                <c:pt idx="30">
                  <c:v>690</c:v>
                </c:pt>
                <c:pt idx="31">
                  <c:v>618</c:v>
                </c:pt>
                <c:pt idx="32">
                  <c:v>690</c:v>
                </c:pt>
                <c:pt idx="33">
                  <c:v>774</c:v>
                </c:pt>
                <c:pt idx="34">
                  <c:v>746</c:v>
                </c:pt>
                <c:pt idx="35">
                  <c:v>695</c:v>
                </c:pt>
                <c:pt idx="36">
                  <c:v>675</c:v>
                </c:pt>
                <c:pt idx="37">
                  <c:v>0</c:v>
                </c:pt>
                <c:pt idx="38">
                  <c:v>0</c:v>
                </c:pt>
                <c:pt idx="39">
                  <c:v>742</c:v>
                </c:pt>
                <c:pt idx="40">
                  <c:v>657</c:v>
                </c:pt>
                <c:pt idx="41">
                  <c:v>681</c:v>
                </c:pt>
                <c:pt idx="42">
                  <c:v>779</c:v>
                </c:pt>
                <c:pt idx="43">
                  <c:v>657</c:v>
                </c:pt>
                <c:pt idx="44">
                  <c:v>608</c:v>
                </c:pt>
                <c:pt idx="45">
                  <c:v>696</c:v>
                </c:pt>
                <c:pt idx="46">
                  <c:v>797</c:v>
                </c:pt>
                <c:pt idx="47">
                  <c:v>733</c:v>
                </c:pt>
                <c:pt idx="48">
                  <c:v>742</c:v>
                </c:pt>
                <c:pt idx="49">
                  <c:v>610</c:v>
                </c:pt>
                <c:pt idx="50">
                  <c:v>935</c:v>
                </c:pt>
                <c:pt idx="51">
                  <c:v>952</c:v>
                </c:pt>
                <c:pt idx="52">
                  <c:v>763</c:v>
                </c:pt>
                <c:pt idx="53">
                  <c:v>756</c:v>
                </c:pt>
                <c:pt idx="54">
                  <c:v>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1-5F44-8540-91D34E52F860}"/>
            </c:ext>
          </c:extLst>
        </c:ser>
        <c:ser>
          <c:idx val="1"/>
          <c:order val="1"/>
          <c:tx>
            <c:strRef>
              <c:f>'SARS &amp; Flu HF&amp;Comm &amp;Typhi'!$M$6</c:f>
              <c:strCache>
                <c:ptCount val="1"/>
                <c:pt idx="0">
                  <c:v>Total Samples tested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'SARS &amp; Flu HF&amp;Comm &amp;Typhi'!$C$7:$C$61</c:f>
              <c:strCache>
                <c:ptCount val="55"/>
                <c:pt idx="0">
                  <c:v>WK47</c:v>
                </c:pt>
                <c:pt idx="1">
                  <c:v>WK48</c:v>
                </c:pt>
                <c:pt idx="2">
                  <c:v>WK49</c:v>
                </c:pt>
                <c:pt idx="3">
                  <c:v>WK50</c:v>
                </c:pt>
                <c:pt idx="4">
                  <c:v>WK51</c:v>
                </c:pt>
                <c:pt idx="5">
                  <c:v>WK52</c:v>
                </c:pt>
                <c:pt idx="6">
                  <c:v>Wk1</c:v>
                </c:pt>
                <c:pt idx="7">
                  <c:v>WK2</c:v>
                </c:pt>
                <c:pt idx="8">
                  <c:v>WK3</c:v>
                </c:pt>
                <c:pt idx="9">
                  <c:v>WK4</c:v>
                </c:pt>
                <c:pt idx="10">
                  <c:v>WK5</c:v>
                </c:pt>
                <c:pt idx="11">
                  <c:v>WK6</c:v>
                </c:pt>
                <c:pt idx="12">
                  <c:v>WK7</c:v>
                </c:pt>
                <c:pt idx="13">
                  <c:v>WK8</c:v>
                </c:pt>
                <c:pt idx="14">
                  <c:v>WK9</c:v>
                </c:pt>
                <c:pt idx="15">
                  <c:v>WK10</c:v>
                </c:pt>
                <c:pt idx="16">
                  <c:v>WK11</c:v>
                </c:pt>
                <c:pt idx="17">
                  <c:v>WK12</c:v>
                </c:pt>
                <c:pt idx="18">
                  <c:v>WK13</c:v>
                </c:pt>
                <c:pt idx="19">
                  <c:v>WK14</c:v>
                </c:pt>
                <c:pt idx="20">
                  <c:v>WK15</c:v>
                </c:pt>
                <c:pt idx="21">
                  <c:v>WK16</c:v>
                </c:pt>
                <c:pt idx="22">
                  <c:v>WK17</c:v>
                </c:pt>
                <c:pt idx="23">
                  <c:v>WK18</c:v>
                </c:pt>
                <c:pt idx="24">
                  <c:v>WK19</c:v>
                </c:pt>
                <c:pt idx="25">
                  <c:v>WK20</c:v>
                </c:pt>
                <c:pt idx="26">
                  <c:v>WK21</c:v>
                </c:pt>
                <c:pt idx="27">
                  <c:v>WK22</c:v>
                </c:pt>
                <c:pt idx="28">
                  <c:v>WK23</c:v>
                </c:pt>
                <c:pt idx="29">
                  <c:v>WK24</c:v>
                </c:pt>
                <c:pt idx="30">
                  <c:v>WK25</c:v>
                </c:pt>
                <c:pt idx="31">
                  <c:v>WK26</c:v>
                </c:pt>
                <c:pt idx="32">
                  <c:v>WK27</c:v>
                </c:pt>
                <c:pt idx="33">
                  <c:v>WK28</c:v>
                </c:pt>
                <c:pt idx="34">
                  <c:v>WK29</c:v>
                </c:pt>
                <c:pt idx="35">
                  <c:v>WK30</c:v>
                </c:pt>
                <c:pt idx="36">
                  <c:v>WK31</c:v>
                </c:pt>
                <c:pt idx="37">
                  <c:v>WK32</c:v>
                </c:pt>
                <c:pt idx="38">
                  <c:v>WK33</c:v>
                </c:pt>
                <c:pt idx="39">
                  <c:v>WK34</c:v>
                </c:pt>
                <c:pt idx="40">
                  <c:v>WK35</c:v>
                </c:pt>
                <c:pt idx="41">
                  <c:v>WK36</c:v>
                </c:pt>
                <c:pt idx="42">
                  <c:v>WK37</c:v>
                </c:pt>
                <c:pt idx="43">
                  <c:v>WK38</c:v>
                </c:pt>
                <c:pt idx="44">
                  <c:v>WK39</c:v>
                </c:pt>
                <c:pt idx="45">
                  <c:v>WK40</c:v>
                </c:pt>
                <c:pt idx="46">
                  <c:v>WK41</c:v>
                </c:pt>
                <c:pt idx="47">
                  <c:v>WK42</c:v>
                </c:pt>
                <c:pt idx="48">
                  <c:v>WK43</c:v>
                </c:pt>
                <c:pt idx="49">
                  <c:v>WK44</c:v>
                </c:pt>
                <c:pt idx="50">
                  <c:v>WK45</c:v>
                </c:pt>
                <c:pt idx="51">
                  <c:v>WK46</c:v>
                </c:pt>
                <c:pt idx="52">
                  <c:v>WK47</c:v>
                </c:pt>
                <c:pt idx="53">
                  <c:v>WK48</c:v>
                </c:pt>
                <c:pt idx="54">
                  <c:v>WK49</c:v>
                </c:pt>
              </c:strCache>
            </c:strRef>
          </c:cat>
          <c:val>
            <c:numRef>
              <c:f>'SARS &amp; Flu HF&amp;Comm &amp;Typhi'!$M$7:$M$61</c:f>
              <c:numCache>
                <c:formatCode>General</c:formatCode>
                <c:ptCount val="55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1</c:v>
                </c:pt>
                <c:pt idx="4">
                  <c:v>14</c:v>
                </c:pt>
                <c:pt idx="5">
                  <c:v>0</c:v>
                </c:pt>
                <c:pt idx="6">
                  <c:v>2</c:v>
                </c:pt>
                <c:pt idx="7">
                  <c:v>11</c:v>
                </c:pt>
                <c:pt idx="8">
                  <c:v>6</c:v>
                </c:pt>
                <c:pt idx="9">
                  <c:v>0</c:v>
                </c:pt>
                <c:pt idx="10">
                  <c:v>6</c:v>
                </c:pt>
                <c:pt idx="11">
                  <c:v>21</c:v>
                </c:pt>
                <c:pt idx="12">
                  <c:v>14</c:v>
                </c:pt>
                <c:pt idx="13">
                  <c:v>22</c:v>
                </c:pt>
                <c:pt idx="14">
                  <c:v>47</c:v>
                </c:pt>
                <c:pt idx="15">
                  <c:v>40</c:v>
                </c:pt>
                <c:pt idx="16">
                  <c:v>44</c:v>
                </c:pt>
                <c:pt idx="17">
                  <c:v>23</c:v>
                </c:pt>
                <c:pt idx="18">
                  <c:v>52</c:v>
                </c:pt>
                <c:pt idx="19">
                  <c:v>33</c:v>
                </c:pt>
                <c:pt idx="20">
                  <c:v>31</c:v>
                </c:pt>
                <c:pt idx="21">
                  <c:v>43</c:v>
                </c:pt>
                <c:pt idx="22">
                  <c:v>32</c:v>
                </c:pt>
                <c:pt idx="23">
                  <c:v>35</c:v>
                </c:pt>
                <c:pt idx="24">
                  <c:v>26</c:v>
                </c:pt>
                <c:pt idx="25">
                  <c:v>39</c:v>
                </c:pt>
                <c:pt idx="26">
                  <c:v>52</c:v>
                </c:pt>
                <c:pt idx="27">
                  <c:v>48</c:v>
                </c:pt>
                <c:pt idx="28">
                  <c:v>49</c:v>
                </c:pt>
                <c:pt idx="29">
                  <c:v>49</c:v>
                </c:pt>
                <c:pt idx="30">
                  <c:v>34</c:v>
                </c:pt>
                <c:pt idx="31">
                  <c:v>37</c:v>
                </c:pt>
                <c:pt idx="32">
                  <c:v>39</c:v>
                </c:pt>
                <c:pt idx="33">
                  <c:v>43</c:v>
                </c:pt>
                <c:pt idx="34">
                  <c:v>47</c:v>
                </c:pt>
                <c:pt idx="35">
                  <c:v>48</c:v>
                </c:pt>
                <c:pt idx="36">
                  <c:v>25</c:v>
                </c:pt>
                <c:pt idx="37">
                  <c:v>44</c:v>
                </c:pt>
                <c:pt idx="38">
                  <c:v>36</c:v>
                </c:pt>
                <c:pt idx="39">
                  <c:v>47</c:v>
                </c:pt>
                <c:pt idx="40">
                  <c:v>45</c:v>
                </c:pt>
                <c:pt idx="41">
                  <c:v>35</c:v>
                </c:pt>
                <c:pt idx="42">
                  <c:v>34</c:v>
                </c:pt>
                <c:pt idx="43">
                  <c:v>41</c:v>
                </c:pt>
                <c:pt idx="44">
                  <c:v>34</c:v>
                </c:pt>
                <c:pt idx="45">
                  <c:v>41</c:v>
                </c:pt>
                <c:pt idx="46">
                  <c:v>45</c:v>
                </c:pt>
                <c:pt idx="47">
                  <c:v>31</c:v>
                </c:pt>
                <c:pt idx="48">
                  <c:v>30</c:v>
                </c:pt>
                <c:pt idx="49">
                  <c:v>20</c:v>
                </c:pt>
                <c:pt idx="50">
                  <c:v>34</c:v>
                </c:pt>
                <c:pt idx="51">
                  <c:v>30</c:v>
                </c:pt>
                <c:pt idx="52">
                  <c:v>19</c:v>
                </c:pt>
                <c:pt idx="53">
                  <c:v>24</c:v>
                </c:pt>
                <c:pt idx="5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11-5F44-8540-91D34E52F860}"/>
            </c:ext>
          </c:extLst>
        </c:ser>
        <c:ser>
          <c:idx val="2"/>
          <c:order val="2"/>
          <c:tx>
            <c:strRef>
              <c:f>'SARS &amp; Flu HF&amp;Comm &amp;Typhi'!$N$6</c:f>
              <c:strCache>
                <c:ptCount val="1"/>
                <c:pt idx="0">
                  <c:v>Total samples positive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'SARS &amp; Flu HF&amp;Comm &amp;Typhi'!$C$7:$C$61</c:f>
              <c:strCache>
                <c:ptCount val="55"/>
                <c:pt idx="0">
                  <c:v>WK47</c:v>
                </c:pt>
                <c:pt idx="1">
                  <c:v>WK48</c:v>
                </c:pt>
                <c:pt idx="2">
                  <c:v>WK49</c:v>
                </c:pt>
                <c:pt idx="3">
                  <c:v>WK50</c:v>
                </c:pt>
                <c:pt idx="4">
                  <c:v>WK51</c:v>
                </c:pt>
                <c:pt idx="5">
                  <c:v>WK52</c:v>
                </c:pt>
                <c:pt idx="6">
                  <c:v>Wk1</c:v>
                </c:pt>
                <c:pt idx="7">
                  <c:v>WK2</c:v>
                </c:pt>
                <c:pt idx="8">
                  <c:v>WK3</c:v>
                </c:pt>
                <c:pt idx="9">
                  <c:v>WK4</c:v>
                </c:pt>
                <c:pt idx="10">
                  <c:v>WK5</c:v>
                </c:pt>
                <c:pt idx="11">
                  <c:v>WK6</c:v>
                </c:pt>
                <c:pt idx="12">
                  <c:v>WK7</c:v>
                </c:pt>
                <c:pt idx="13">
                  <c:v>WK8</c:v>
                </c:pt>
                <c:pt idx="14">
                  <c:v>WK9</c:v>
                </c:pt>
                <c:pt idx="15">
                  <c:v>WK10</c:v>
                </c:pt>
                <c:pt idx="16">
                  <c:v>WK11</c:v>
                </c:pt>
                <c:pt idx="17">
                  <c:v>WK12</c:v>
                </c:pt>
                <c:pt idx="18">
                  <c:v>WK13</c:v>
                </c:pt>
                <c:pt idx="19">
                  <c:v>WK14</c:v>
                </c:pt>
                <c:pt idx="20">
                  <c:v>WK15</c:v>
                </c:pt>
                <c:pt idx="21">
                  <c:v>WK16</c:v>
                </c:pt>
                <c:pt idx="22">
                  <c:v>WK17</c:v>
                </c:pt>
                <c:pt idx="23">
                  <c:v>WK18</c:v>
                </c:pt>
                <c:pt idx="24">
                  <c:v>WK19</c:v>
                </c:pt>
                <c:pt idx="25">
                  <c:v>WK20</c:v>
                </c:pt>
                <c:pt idx="26">
                  <c:v>WK21</c:v>
                </c:pt>
                <c:pt idx="27">
                  <c:v>WK22</c:v>
                </c:pt>
                <c:pt idx="28">
                  <c:v>WK23</c:v>
                </c:pt>
                <c:pt idx="29">
                  <c:v>WK24</c:v>
                </c:pt>
                <c:pt idx="30">
                  <c:v>WK25</c:v>
                </c:pt>
                <c:pt idx="31">
                  <c:v>WK26</c:v>
                </c:pt>
                <c:pt idx="32">
                  <c:v>WK27</c:v>
                </c:pt>
                <c:pt idx="33">
                  <c:v>WK28</c:v>
                </c:pt>
                <c:pt idx="34">
                  <c:v>WK29</c:v>
                </c:pt>
                <c:pt idx="35">
                  <c:v>WK30</c:v>
                </c:pt>
                <c:pt idx="36">
                  <c:v>WK31</c:v>
                </c:pt>
                <c:pt idx="37">
                  <c:v>WK32</c:v>
                </c:pt>
                <c:pt idx="38">
                  <c:v>WK33</c:v>
                </c:pt>
                <c:pt idx="39">
                  <c:v>WK34</c:v>
                </c:pt>
                <c:pt idx="40">
                  <c:v>WK35</c:v>
                </c:pt>
                <c:pt idx="41">
                  <c:v>WK36</c:v>
                </c:pt>
                <c:pt idx="42">
                  <c:v>WK37</c:v>
                </c:pt>
                <c:pt idx="43">
                  <c:v>WK38</c:v>
                </c:pt>
                <c:pt idx="44">
                  <c:v>WK39</c:v>
                </c:pt>
                <c:pt idx="45">
                  <c:v>WK40</c:v>
                </c:pt>
                <c:pt idx="46">
                  <c:v>WK41</c:v>
                </c:pt>
                <c:pt idx="47">
                  <c:v>WK42</c:v>
                </c:pt>
                <c:pt idx="48">
                  <c:v>WK43</c:v>
                </c:pt>
                <c:pt idx="49">
                  <c:v>WK44</c:v>
                </c:pt>
                <c:pt idx="50">
                  <c:v>WK45</c:v>
                </c:pt>
                <c:pt idx="51">
                  <c:v>WK46</c:v>
                </c:pt>
                <c:pt idx="52">
                  <c:v>WK47</c:v>
                </c:pt>
                <c:pt idx="53">
                  <c:v>WK48</c:v>
                </c:pt>
                <c:pt idx="54">
                  <c:v>WK49</c:v>
                </c:pt>
              </c:strCache>
            </c:strRef>
          </c:cat>
          <c:val>
            <c:numRef>
              <c:f>'SARS &amp; Flu HF&amp;Comm &amp;Typhi'!$N$7:$N$61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2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11-5F44-8540-91D34E52F8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447744"/>
        <c:axId val="102449536"/>
      </c:barChart>
      <c:lineChart>
        <c:grouping val="standard"/>
        <c:varyColors val="0"/>
        <c:ser>
          <c:idx val="3"/>
          <c:order val="3"/>
          <c:tx>
            <c:strRef>
              <c:f>'SARS &amp; Flu HF&amp;Comm &amp;Typhi'!$O$6</c:f>
              <c:strCache>
                <c:ptCount val="1"/>
                <c:pt idx="0">
                  <c:v>Positivity Hospital Zimpeto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1AA-9B43-A92D-4076A277A9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'SARS &amp; Flu HF&amp;Comm &amp;Typhi'!$C$7:$C$61</c:f>
              <c:strCache>
                <c:ptCount val="55"/>
                <c:pt idx="0">
                  <c:v>WK47</c:v>
                </c:pt>
                <c:pt idx="1">
                  <c:v>WK48</c:v>
                </c:pt>
                <c:pt idx="2">
                  <c:v>WK49</c:v>
                </c:pt>
                <c:pt idx="3">
                  <c:v>WK50</c:v>
                </c:pt>
                <c:pt idx="4">
                  <c:v>WK51</c:v>
                </c:pt>
                <c:pt idx="5">
                  <c:v>WK52</c:v>
                </c:pt>
                <c:pt idx="6">
                  <c:v>Wk1</c:v>
                </c:pt>
                <c:pt idx="7">
                  <c:v>WK2</c:v>
                </c:pt>
                <c:pt idx="8">
                  <c:v>WK3</c:v>
                </c:pt>
                <c:pt idx="9">
                  <c:v>WK4</c:v>
                </c:pt>
                <c:pt idx="10">
                  <c:v>WK5</c:v>
                </c:pt>
                <c:pt idx="11">
                  <c:v>WK6</c:v>
                </c:pt>
                <c:pt idx="12">
                  <c:v>WK7</c:v>
                </c:pt>
                <c:pt idx="13">
                  <c:v>WK8</c:v>
                </c:pt>
                <c:pt idx="14">
                  <c:v>WK9</c:v>
                </c:pt>
                <c:pt idx="15">
                  <c:v>WK10</c:v>
                </c:pt>
                <c:pt idx="16">
                  <c:v>WK11</c:v>
                </c:pt>
                <c:pt idx="17">
                  <c:v>WK12</c:v>
                </c:pt>
                <c:pt idx="18">
                  <c:v>WK13</c:v>
                </c:pt>
                <c:pt idx="19">
                  <c:v>WK14</c:v>
                </c:pt>
                <c:pt idx="20">
                  <c:v>WK15</c:v>
                </c:pt>
                <c:pt idx="21">
                  <c:v>WK16</c:v>
                </c:pt>
                <c:pt idx="22">
                  <c:v>WK17</c:v>
                </c:pt>
                <c:pt idx="23">
                  <c:v>WK18</c:v>
                </c:pt>
                <c:pt idx="24">
                  <c:v>WK19</c:v>
                </c:pt>
                <c:pt idx="25">
                  <c:v>WK20</c:v>
                </c:pt>
                <c:pt idx="26">
                  <c:v>WK21</c:v>
                </c:pt>
                <c:pt idx="27">
                  <c:v>WK22</c:v>
                </c:pt>
                <c:pt idx="28">
                  <c:v>WK23</c:v>
                </c:pt>
                <c:pt idx="29">
                  <c:v>WK24</c:v>
                </c:pt>
                <c:pt idx="30">
                  <c:v>WK25</c:v>
                </c:pt>
                <c:pt idx="31">
                  <c:v>WK26</c:v>
                </c:pt>
                <c:pt idx="32">
                  <c:v>WK27</c:v>
                </c:pt>
                <c:pt idx="33">
                  <c:v>WK28</c:v>
                </c:pt>
                <c:pt idx="34">
                  <c:v>WK29</c:v>
                </c:pt>
                <c:pt idx="35">
                  <c:v>WK30</c:v>
                </c:pt>
                <c:pt idx="36">
                  <c:v>WK31</c:v>
                </c:pt>
                <c:pt idx="37">
                  <c:v>WK32</c:v>
                </c:pt>
                <c:pt idx="38">
                  <c:v>WK33</c:v>
                </c:pt>
                <c:pt idx="39">
                  <c:v>WK34</c:v>
                </c:pt>
                <c:pt idx="40">
                  <c:v>WK35</c:v>
                </c:pt>
                <c:pt idx="41">
                  <c:v>WK36</c:v>
                </c:pt>
                <c:pt idx="42">
                  <c:v>WK37</c:v>
                </c:pt>
                <c:pt idx="43">
                  <c:v>WK38</c:v>
                </c:pt>
                <c:pt idx="44">
                  <c:v>WK39</c:v>
                </c:pt>
                <c:pt idx="45">
                  <c:v>WK40</c:v>
                </c:pt>
                <c:pt idx="46">
                  <c:v>WK41</c:v>
                </c:pt>
                <c:pt idx="47">
                  <c:v>WK42</c:v>
                </c:pt>
                <c:pt idx="48">
                  <c:v>WK43</c:v>
                </c:pt>
                <c:pt idx="49">
                  <c:v>WK44</c:v>
                </c:pt>
                <c:pt idx="50">
                  <c:v>WK45</c:v>
                </c:pt>
                <c:pt idx="51">
                  <c:v>WK46</c:v>
                </c:pt>
                <c:pt idx="52">
                  <c:v>WK47</c:v>
                </c:pt>
                <c:pt idx="53">
                  <c:v>WK48</c:v>
                </c:pt>
                <c:pt idx="54">
                  <c:v>WK49</c:v>
                </c:pt>
              </c:strCache>
            </c:strRef>
          </c:cat>
          <c:val>
            <c:numRef>
              <c:f>'SARS &amp; Flu HF&amp;Comm &amp;Typhi'!$O$7:$O$61</c:f>
              <c:numCache>
                <c:formatCode>0%</c:formatCode>
                <c:ptCount val="55"/>
                <c:pt idx="0">
                  <c:v>8.3333333333333329E-2</c:v>
                </c:pt>
                <c:pt idx="1">
                  <c:v>0.18181818181818182</c:v>
                </c:pt>
                <c:pt idx="2">
                  <c:v>0.6</c:v>
                </c:pt>
                <c:pt idx="3">
                  <c:v>0</c:v>
                </c:pt>
                <c:pt idx="4">
                  <c:v>0.42857142857142855</c:v>
                </c:pt>
                <c:pt idx="5">
                  <c:v>0</c:v>
                </c:pt>
                <c:pt idx="6">
                  <c:v>0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4.7619047619047616E-2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3.8461538461538464E-2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4.3478260869565216E-2</c:v>
                </c:pt>
                <c:pt idx="24">
                  <c:v>3.8461538461538464E-2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6.6666666666666666E-2</c:v>
                </c:pt>
                <c:pt idx="44">
                  <c:v>0</c:v>
                </c:pt>
                <c:pt idx="45">
                  <c:v>0</c:v>
                </c:pt>
                <c:pt idx="46">
                  <c:v>6.6666666666666666E-2</c:v>
                </c:pt>
                <c:pt idx="47">
                  <c:v>0</c:v>
                </c:pt>
                <c:pt idx="48">
                  <c:v>0.13333333333333333</c:v>
                </c:pt>
                <c:pt idx="49">
                  <c:v>6.6666666666666666E-2</c:v>
                </c:pt>
                <c:pt idx="50">
                  <c:v>0.13333333333333333</c:v>
                </c:pt>
                <c:pt idx="51">
                  <c:v>7.1428571428571425E-2</c:v>
                </c:pt>
                <c:pt idx="52">
                  <c:v>0</c:v>
                </c:pt>
                <c:pt idx="53">
                  <c:v>8.3333333333333329E-2</c:v>
                </c:pt>
                <c:pt idx="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11-5F44-8540-91D34E52F860}"/>
            </c:ext>
          </c:extLst>
        </c:ser>
        <c:ser>
          <c:idx val="4"/>
          <c:order val="4"/>
          <c:tx>
            <c:strRef>
              <c:f>'SARS &amp; Flu HF&amp;Comm &amp;Typhi'!$P$6</c:f>
              <c:strCache>
                <c:ptCount val="1"/>
                <c:pt idx="0">
                  <c:v>Positivity Comunidade Zimpeto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'SARS &amp; Flu HF&amp;Comm &amp;Typhi'!$C$7:$C$61</c:f>
              <c:strCache>
                <c:ptCount val="55"/>
                <c:pt idx="0">
                  <c:v>WK47</c:v>
                </c:pt>
                <c:pt idx="1">
                  <c:v>WK48</c:v>
                </c:pt>
                <c:pt idx="2">
                  <c:v>WK49</c:v>
                </c:pt>
                <c:pt idx="3">
                  <c:v>WK50</c:v>
                </c:pt>
                <c:pt idx="4">
                  <c:v>WK51</c:v>
                </c:pt>
                <c:pt idx="5">
                  <c:v>WK52</c:v>
                </c:pt>
                <c:pt idx="6">
                  <c:v>Wk1</c:v>
                </c:pt>
                <c:pt idx="7">
                  <c:v>WK2</c:v>
                </c:pt>
                <c:pt idx="8">
                  <c:v>WK3</c:v>
                </c:pt>
                <c:pt idx="9">
                  <c:v>WK4</c:v>
                </c:pt>
                <c:pt idx="10">
                  <c:v>WK5</c:v>
                </c:pt>
                <c:pt idx="11">
                  <c:v>WK6</c:v>
                </c:pt>
                <c:pt idx="12">
                  <c:v>WK7</c:v>
                </c:pt>
                <c:pt idx="13">
                  <c:v>WK8</c:v>
                </c:pt>
                <c:pt idx="14">
                  <c:v>WK9</c:v>
                </c:pt>
                <c:pt idx="15">
                  <c:v>WK10</c:v>
                </c:pt>
                <c:pt idx="16">
                  <c:v>WK11</c:v>
                </c:pt>
                <c:pt idx="17">
                  <c:v>WK12</c:v>
                </c:pt>
                <c:pt idx="18">
                  <c:v>WK13</c:v>
                </c:pt>
                <c:pt idx="19">
                  <c:v>WK14</c:v>
                </c:pt>
                <c:pt idx="20">
                  <c:v>WK15</c:v>
                </c:pt>
                <c:pt idx="21">
                  <c:v>WK16</c:v>
                </c:pt>
                <c:pt idx="22">
                  <c:v>WK17</c:v>
                </c:pt>
                <c:pt idx="23">
                  <c:v>WK18</c:v>
                </c:pt>
                <c:pt idx="24">
                  <c:v>WK19</c:v>
                </c:pt>
                <c:pt idx="25">
                  <c:v>WK20</c:v>
                </c:pt>
                <c:pt idx="26">
                  <c:v>WK21</c:v>
                </c:pt>
                <c:pt idx="27">
                  <c:v>WK22</c:v>
                </c:pt>
                <c:pt idx="28">
                  <c:v>WK23</c:v>
                </c:pt>
                <c:pt idx="29">
                  <c:v>WK24</c:v>
                </c:pt>
                <c:pt idx="30">
                  <c:v>WK25</c:v>
                </c:pt>
                <c:pt idx="31">
                  <c:v>WK26</c:v>
                </c:pt>
                <c:pt idx="32">
                  <c:v>WK27</c:v>
                </c:pt>
                <c:pt idx="33">
                  <c:v>WK28</c:v>
                </c:pt>
                <c:pt idx="34">
                  <c:v>WK29</c:v>
                </c:pt>
                <c:pt idx="35">
                  <c:v>WK30</c:v>
                </c:pt>
                <c:pt idx="36">
                  <c:v>WK31</c:v>
                </c:pt>
                <c:pt idx="37">
                  <c:v>WK32</c:v>
                </c:pt>
                <c:pt idx="38">
                  <c:v>WK33</c:v>
                </c:pt>
                <c:pt idx="39">
                  <c:v>WK34</c:v>
                </c:pt>
                <c:pt idx="40">
                  <c:v>WK35</c:v>
                </c:pt>
                <c:pt idx="41">
                  <c:v>WK36</c:v>
                </c:pt>
                <c:pt idx="42">
                  <c:v>WK37</c:v>
                </c:pt>
                <c:pt idx="43">
                  <c:v>WK38</c:v>
                </c:pt>
                <c:pt idx="44">
                  <c:v>WK39</c:v>
                </c:pt>
                <c:pt idx="45">
                  <c:v>WK40</c:v>
                </c:pt>
                <c:pt idx="46">
                  <c:v>WK41</c:v>
                </c:pt>
                <c:pt idx="47">
                  <c:v>WK42</c:v>
                </c:pt>
                <c:pt idx="48">
                  <c:v>WK43</c:v>
                </c:pt>
                <c:pt idx="49">
                  <c:v>WK44</c:v>
                </c:pt>
                <c:pt idx="50">
                  <c:v>WK45</c:v>
                </c:pt>
                <c:pt idx="51">
                  <c:v>WK46</c:v>
                </c:pt>
                <c:pt idx="52">
                  <c:v>WK47</c:v>
                </c:pt>
                <c:pt idx="53">
                  <c:v>WK48</c:v>
                </c:pt>
                <c:pt idx="54">
                  <c:v>WK49</c:v>
                </c:pt>
              </c:strCache>
            </c:strRef>
          </c:cat>
          <c:val>
            <c:numRef>
              <c:f>'SARS &amp; Flu HF&amp;Comm &amp;Typhi'!$P$7:$P$61</c:f>
              <c:numCache>
                <c:formatCode>0%</c:formatCode>
                <c:ptCount val="55"/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7.1428571428571425E-2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11-5F44-8540-91D34E52F8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452608"/>
        <c:axId val="102451072"/>
      </c:lineChart>
      <c:catAx>
        <c:axId val="10244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49536"/>
        <c:crosses val="autoZero"/>
        <c:auto val="1"/>
        <c:lblAlgn val="ctr"/>
        <c:lblOffset val="100"/>
        <c:noMultiLvlLbl val="0"/>
      </c:catAx>
      <c:valAx>
        <c:axId val="102449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47744"/>
        <c:crosses val="autoZero"/>
        <c:crossBetween val="between"/>
      </c:valAx>
      <c:valAx>
        <c:axId val="10245107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2608"/>
        <c:crosses val="max"/>
        <c:crossBetween val="between"/>
      </c:valAx>
      <c:catAx>
        <c:axId val="1024526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24510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58459266407855"/>
          <c:y val="0.90908538892592539"/>
          <c:w val="0.61374699332499982"/>
          <c:h val="8.5395909472346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Influenza Comunidade Zimpeto</a:t>
            </a:r>
          </a:p>
        </c:rich>
      </c:tx>
      <c:layout>
        <c:manualLayout>
          <c:xMode val="edge"/>
          <c:yMode val="edge"/>
          <c:x val="0.42664203423945901"/>
          <c:y val="1.354838399960741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215914785143584E-2"/>
          <c:y val="0.1049311294765843"/>
          <c:w val="0.91036726777612875"/>
          <c:h val="0.734115746086331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'SARS &amp; Flu HF&amp;Comm &amp;Typhi'!$H$71</c:f>
              <c:strCache>
                <c:ptCount val="1"/>
                <c:pt idx="0">
                  <c:v># Cases reported at Comunidade Zimpeto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'SARS &amp; Flu HF&amp;Comm &amp;Typhi'!$B$72:$C$126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&amp;Typhi'!$H$72:$H$126</c:f>
              <c:numCache>
                <c:formatCode>General</c:formatCode>
                <c:ptCount val="55"/>
                <c:pt idx="13">
                  <c:v>20</c:v>
                </c:pt>
                <c:pt idx="14">
                  <c:v>27</c:v>
                </c:pt>
                <c:pt idx="15">
                  <c:v>17</c:v>
                </c:pt>
                <c:pt idx="16">
                  <c:v>20</c:v>
                </c:pt>
                <c:pt idx="17">
                  <c:v>24</c:v>
                </c:pt>
                <c:pt idx="18">
                  <c:v>34</c:v>
                </c:pt>
                <c:pt idx="19">
                  <c:v>19</c:v>
                </c:pt>
                <c:pt idx="20">
                  <c:v>42</c:v>
                </c:pt>
                <c:pt idx="21">
                  <c:v>30</c:v>
                </c:pt>
                <c:pt idx="22">
                  <c:v>41</c:v>
                </c:pt>
                <c:pt idx="23">
                  <c:v>26</c:v>
                </c:pt>
                <c:pt idx="24">
                  <c:v>0</c:v>
                </c:pt>
                <c:pt idx="25">
                  <c:v>36</c:v>
                </c:pt>
                <c:pt idx="26">
                  <c:v>55</c:v>
                </c:pt>
                <c:pt idx="27">
                  <c:v>31</c:v>
                </c:pt>
                <c:pt idx="28">
                  <c:v>38</c:v>
                </c:pt>
                <c:pt idx="29">
                  <c:v>47</c:v>
                </c:pt>
                <c:pt idx="30">
                  <c:v>39</c:v>
                </c:pt>
                <c:pt idx="31">
                  <c:v>64</c:v>
                </c:pt>
                <c:pt idx="32">
                  <c:v>77</c:v>
                </c:pt>
                <c:pt idx="33">
                  <c:v>89</c:v>
                </c:pt>
                <c:pt idx="34">
                  <c:v>66</c:v>
                </c:pt>
                <c:pt idx="35">
                  <c:v>54</c:v>
                </c:pt>
                <c:pt idx="36">
                  <c:v>80</c:v>
                </c:pt>
                <c:pt idx="37">
                  <c:v>65</c:v>
                </c:pt>
                <c:pt idx="38">
                  <c:v>71</c:v>
                </c:pt>
                <c:pt idx="39">
                  <c:v>74</c:v>
                </c:pt>
                <c:pt idx="40">
                  <c:v>56</c:v>
                </c:pt>
                <c:pt idx="41">
                  <c:v>47</c:v>
                </c:pt>
                <c:pt idx="42">
                  <c:v>39</c:v>
                </c:pt>
                <c:pt idx="43">
                  <c:v>47</c:v>
                </c:pt>
                <c:pt idx="44">
                  <c:v>39</c:v>
                </c:pt>
                <c:pt idx="45">
                  <c:v>36</c:v>
                </c:pt>
                <c:pt idx="46">
                  <c:v>46</c:v>
                </c:pt>
                <c:pt idx="47">
                  <c:v>34</c:v>
                </c:pt>
                <c:pt idx="48">
                  <c:v>31</c:v>
                </c:pt>
                <c:pt idx="49">
                  <c:v>25</c:v>
                </c:pt>
                <c:pt idx="50">
                  <c:v>27</c:v>
                </c:pt>
                <c:pt idx="51">
                  <c:v>22</c:v>
                </c:pt>
                <c:pt idx="52">
                  <c:v>34</c:v>
                </c:pt>
                <c:pt idx="53">
                  <c:v>14</c:v>
                </c:pt>
                <c:pt idx="5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6-8D4B-B209-D192E5413044}"/>
            </c:ext>
          </c:extLst>
        </c:ser>
        <c:ser>
          <c:idx val="1"/>
          <c:order val="1"/>
          <c:tx>
            <c:strRef>
              <c:f>'SARS &amp; Flu HF&amp;Comm &amp;Typhi'!$I$71</c:f>
              <c:strCache>
                <c:ptCount val="1"/>
                <c:pt idx="0">
                  <c:v># Samples Tested Comunidade Zimpeto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'SARS &amp; Flu HF&amp;Comm &amp;Typhi'!$B$72:$C$126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&amp;Typhi'!$I$72:$I$126</c:f>
              <c:numCache>
                <c:formatCode>General</c:formatCode>
                <c:ptCount val="55"/>
                <c:pt idx="13">
                  <c:v>5</c:v>
                </c:pt>
                <c:pt idx="14">
                  <c:v>21</c:v>
                </c:pt>
                <c:pt idx="15">
                  <c:v>14</c:v>
                </c:pt>
                <c:pt idx="16">
                  <c:v>19</c:v>
                </c:pt>
                <c:pt idx="17">
                  <c:v>11</c:v>
                </c:pt>
                <c:pt idx="18">
                  <c:v>22</c:v>
                </c:pt>
                <c:pt idx="19">
                  <c:v>15</c:v>
                </c:pt>
                <c:pt idx="20">
                  <c:v>18</c:v>
                </c:pt>
                <c:pt idx="21">
                  <c:v>23</c:v>
                </c:pt>
                <c:pt idx="22">
                  <c:v>30</c:v>
                </c:pt>
                <c:pt idx="23">
                  <c:v>12</c:v>
                </c:pt>
                <c:pt idx="24">
                  <c:v>0</c:v>
                </c:pt>
                <c:pt idx="25">
                  <c:v>14</c:v>
                </c:pt>
                <c:pt idx="26">
                  <c:v>29</c:v>
                </c:pt>
                <c:pt idx="27">
                  <c:v>23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19</c:v>
                </c:pt>
                <c:pt idx="32">
                  <c:v>14</c:v>
                </c:pt>
                <c:pt idx="33">
                  <c:v>18</c:v>
                </c:pt>
                <c:pt idx="34">
                  <c:v>23</c:v>
                </c:pt>
                <c:pt idx="35">
                  <c:v>24</c:v>
                </c:pt>
                <c:pt idx="36">
                  <c:v>8</c:v>
                </c:pt>
                <c:pt idx="37">
                  <c:v>28</c:v>
                </c:pt>
                <c:pt idx="38">
                  <c:v>23</c:v>
                </c:pt>
                <c:pt idx="39">
                  <c:v>32</c:v>
                </c:pt>
                <c:pt idx="40">
                  <c:v>32</c:v>
                </c:pt>
                <c:pt idx="41">
                  <c:v>20</c:v>
                </c:pt>
                <c:pt idx="42">
                  <c:v>20</c:v>
                </c:pt>
                <c:pt idx="43">
                  <c:v>26</c:v>
                </c:pt>
                <c:pt idx="44">
                  <c:v>19</c:v>
                </c:pt>
                <c:pt idx="45">
                  <c:v>26</c:v>
                </c:pt>
                <c:pt idx="46">
                  <c:v>30</c:v>
                </c:pt>
                <c:pt idx="47">
                  <c:v>16</c:v>
                </c:pt>
                <c:pt idx="48">
                  <c:v>15</c:v>
                </c:pt>
                <c:pt idx="49">
                  <c:v>5</c:v>
                </c:pt>
                <c:pt idx="50">
                  <c:v>19</c:v>
                </c:pt>
                <c:pt idx="51">
                  <c:v>16</c:v>
                </c:pt>
                <c:pt idx="52">
                  <c:v>5</c:v>
                </c:pt>
                <c:pt idx="53">
                  <c:v>12</c:v>
                </c:pt>
                <c:pt idx="5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6-8D4B-B209-D192E5413044}"/>
            </c:ext>
          </c:extLst>
        </c:ser>
        <c:ser>
          <c:idx val="2"/>
          <c:order val="2"/>
          <c:tx>
            <c:strRef>
              <c:f>'SARS &amp; Flu HF&amp;Comm &amp;Typhi'!$J$71</c:f>
              <c:strCache>
                <c:ptCount val="1"/>
                <c:pt idx="0">
                  <c:v># Positive cases Comunidade Zimpeto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'SARS &amp; Flu HF&amp;Comm &amp;Typhi'!$B$72:$C$126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&amp;Typhi'!$J$72:$J$126</c:f>
              <c:numCache>
                <c:formatCode>General</c:formatCode>
                <c:ptCount val="55"/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4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76-8D4B-B209-D192E54130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777216"/>
        <c:axId val="102778752"/>
      </c:barChart>
      <c:lineChart>
        <c:grouping val="standard"/>
        <c:varyColors val="0"/>
        <c:ser>
          <c:idx val="3"/>
          <c:order val="3"/>
          <c:tx>
            <c:strRef>
              <c:f>'SARS &amp; Flu HF&amp;Comm &amp;Typhi'!$K$71</c:f>
              <c:strCache>
                <c:ptCount val="1"/>
                <c:pt idx="0">
                  <c:v>Positivity Comunidade Zimpeto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'SARS &amp; Flu HF&amp;Comm &amp;Typhi'!$B$72:$C$126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&amp;Typhi'!$K$72:$K$126</c:f>
              <c:numCache>
                <c:formatCode>General</c:formatCode>
                <c:ptCount val="55"/>
                <c:pt idx="13" formatCode="0%">
                  <c:v>0</c:v>
                </c:pt>
                <c:pt idx="14" formatCode="0%">
                  <c:v>0</c:v>
                </c:pt>
                <c:pt idx="15" formatCode="0%">
                  <c:v>0</c:v>
                </c:pt>
                <c:pt idx="16" formatCode="0%">
                  <c:v>0</c:v>
                </c:pt>
                <c:pt idx="17" formatCode="0%">
                  <c:v>0.18181818181818182</c:v>
                </c:pt>
                <c:pt idx="18" formatCode="0%">
                  <c:v>0</c:v>
                </c:pt>
                <c:pt idx="19" formatCode="0%">
                  <c:v>0</c:v>
                </c:pt>
                <c:pt idx="20" formatCode="0%">
                  <c:v>0</c:v>
                </c:pt>
                <c:pt idx="21" formatCode="0%">
                  <c:v>0</c:v>
                </c:pt>
                <c:pt idx="22" formatCode="0%">
                  <c:v>0</c:v>
                </c:pt>
                <c:pt idx="23" formatCode="0%">
                  <c:v>0</c:v>
                </c:pt>
                <c:pt idx="24" formatCode="0%">
                  <c:v>0</c:v>
                </c:pt>
                <c:pt idx="25" formatCode="0%">
                  <c:v>0</c:v>
                </c:pt>
                <c:pt idx="26" formatCode="0%">
                  <c:v>0</c:v>
                </c:pt>
                <c:pt idx="27" formatCode="0%">
                  <c:v>4.3478260869565216E-2</c:v>
                </c:pt>
                <c:pt idx="28" formatCode="0%">
                  <c:v>8.3333333333333329E-2</c:v>
                </c:pt>
                <c:pt idx="29" formatCode="0%">
                  <c:v>8.3333333333333329E-2</c:v>
                </c:pt>
                <c:pt idx="30" formatCode="0%">
                  <c:v>0</c:v>
                </c:pt>
                <c:pt idx="31" formatCode="0%">
                  <c:v>5.2631578947368418E-2</c:v>
                </c:pt>
                <c:pt idx="32" formatCode="0%">
                  <c:v>0</c:v>
                </c:pt>
                <c:pt idx="33" formatCode="0%">
                  <c:v>5.5555555555555552E-2</c:v>
                </c:pt>
                <c:pt idx="34" formatCode="0%">
                  <c:v>4.3478260869565216E-2</c:v>
                </c:pt>
                <c:pt idx="35" formatCode="0%">
                  <c:v>0.16666666666666666</c:v>
                </c:pt>
                <c:pt idx="36" formatCode="0%">
                  <c:v>0</c:v>
                </c:pt>
                <c:pt idx="37" formatCode="0%">
                  <c:v>0</c:v>
                </c:pt>
                <c:pt idx="38" formatCode="0%">
                  <c:v>0</c:v>
                </c:pt>
                <c:pt idx="39" formatCode="0%">
                  <c:v>0</c:v>
                </c:pt>
                <c:pt idx="40" formatCode="0%">
                  <c:v>0</c:v>
                </c:pt>
                <c:pt idx="41" formatCode="0%">
                  <c:v>0</c:v>
                </c:pt>
                <c:pt idx="42" formatCode="0%">
                  <c:v>0</c:v>
                </c:pt>
                <c:pt idx="43" formatCode="0%">
                  <c:v>0</c:v>
                </c:pt>
                <c:pt idx="44" formatCode="0%">
                  <c:v>0</c:v>
                </c:pt>
                <c:pt idx="45" formatCode="0%">
                  <c:v>0</c:v>
                </c:pt>
                <c:pt idx="46" formatCode="0%">
                  <c:v>0</c:v>
                </c:pt>
                <c:pt idx="47" formatCode="0%">
                  <c:v>0</c:v>
                </c:pt>
                <c:pt idx="48" formatCode="0%">
                  <c:v>0</c:v>
                </c:pt>
                <c:pt idx="49" formatCode="0%">
                  <c:v>0</c:v>
                </c:pt>
                <c:pt idx="50" formatCode="0%">
                  <c:v>0</c:v>
                </c:pt>
                <c:pt idx="51" formatCode="0%">
                  <c:v>0</c:v>
                </c:pt>
                <c:pt idx="52" formatCode="0%">
                  <c:v>0</c:v>
                </c:pt>
                <c:pt idx="53" formatCode="0%">
                  <c:v>0</c:v>
                </c:pt>
                <c:pt idx="54" formatCode="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76-8D4B-B209-D192E54130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782080"/>
        <c:axId val="102780288"/>
      </c:lineChart>
      <c:catAx>
        <c:axId val="10277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78752"/>
        <c:crosses val="autoZero"/>
        <c:auto val="1"/>
        <c:lblAlgn val="ctr"/>
        <c:lblOffset val="100"/>
        <c:noMultiLvlLbl val="0"/>
      </c:catAx>
      <c:valAx>
        <c:axId val="102778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77216"/>
        <c:crosses val="autoZero"/>
        <c:crossBetween val="between"/>
      </c:valAx>
      <c:valAx>
        <c:axId val="102780288"/>
        <c:scaling>
          <c:orientation val="minMax"/>
          <c:max val="0.8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82080"/>
        <c:crosses val="max"/>
        <c:crossBetween val="between"/>
      </c:valAx>
      <c:catAx>
        <c:axId val="102782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27802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289290184212207"/>
          <c:y val="0.927125280628874"/>
          <c:w val="0.76915328455663778"/>
          <c:h val="6.05399178942518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Influenza Combined Hospital Zimpeto</a:t>
            </a:r>
            <a:r>
              <a:rPr lang="en-GB" b="1" baseline="0"/>
              <a:t> &amp; Comunidade Zimpeto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215914785143584E-2"/>
          <c:y val="0.1049311294765843"/>
          <c:w val="0.9165481410304761"/>
          <c:h val="0.72277186752522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'SARS &amp; Flu HF&amp;Comm &amp;Typhi'!$L$71</c:f>
              <c:strCache>
                <c:ptCount val="1"/>
                <c:pt idx="0">
                  <c:v>Total cases reported at Hospital Zimpeto&amp;Comunidade Zimpeto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'SARS &amp; Flu HF&amp;Comm &amp;Typhi'!$B$72:$C$126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&amp;Typhi'!$L$72:$L$126</c:f>
              <c:numCache>
                <c:formatCode>General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54</c:v>
                </c:pt>
                <c:pt idx="7">
                  <c:v>52</c:v>
                </c:pt>
                <c:pt idx="8">
                  <c:v>48</c:v>
                </c:pt>
                <c:pt idx="9">
                  <c:v>48</c:v>
                </c:pt>
                <c:pt idx="10">
                  <c:v>125</c:v>
                </c:pt>
                <c:pt idx="11">
                  <c:v>142</c:v>
                </c:pt>
                <c:pt idx="12">
                  <c:v>169</c:v>
                </c:pt>
                <c:pt idx="13">
                  <c:v>154</c:v>
                </c:pt>
                <c:pt idx="14">
                  <c:v>166</c:v>
                </c:pt>
                <c:pt idx="15">
                  <c:v>132</c:v>
                </c:pt>
                <c:pt idx="16">
                  <c:v>103</c:v>
                </c:pt>
                <c:pt idx="17">
                  <c:v>253</c:v>
                </c:pt>
                <c:pt idx="18">
                  <c:v>230</c:v>
                </c:pt>
                <c:pt idx="19">
                  <c:v>317</c:v>
                </c:pt>
                <c:pt idx="20">
                  <c:v>305</c:v>
                </c:pt>
                <c:pt idx="21">
                  <c:v>260</c:v>
                </c:pt>
                <c:pt idx="22">
                  <c:v>323</c:v>
                </c:pt>
                <c:pt idx="23">
                  <c:v>379</c:v>
                </c:pt>
                <c:pt idx="24">
                  <c:v>553</c:v>
                </c:pt>
                <c:pt idx="25">
                  <c:v>577</c:v>
                </c:pt>
                <c:pt idx="26">
                  <c:v>500</c:v>
                </c:pt>
                <c:pt idx="27">
                  <c:v>698</c:v>
                </c:pt>
                <c:pt idx="28">
                  <c:v>659</c:v>
                </c:pt>
                <c:pt idx="29">
                  <c:v>771</c:v>
                </c:pt>
                <c:pt idx="30">
                  <c:v>690</c:v>
                </c:pt>
                <c:pt idx="31">
                  <c:v>618</c:v>
                </c:pt>
                <c:pt idx="32">
                  <c:v>690</c:v>
                </c:pt>
                <c:pt idx="33">
                  <c:v>774</c:v>
                </c:pt>
                <c:pt idx="34">
                  <c:v>746</c:v>
                </c:pt>
                <c:pt idx="35">
                  <c:v>695</c:v>
                </c:pt>
                <c:pt idx="36">
                  <c:v>675</c:v>
                </c:pt>
                <c:pt idx="37">
                  <c:v>818</c:v>
                </c:pt>
                <c:pt idx="38">
                  <c:v>706</c:v>
                </c:pt>
                <c:pt idx="39">
                  <c:v>742</c:v>
                </c:pt>
                <c:pt idx="40">
                  <c:v>657</c:v>
                </c:pt>
                <c:pt idx="41">
                  <c:v>681</c:v>
                </c:pt>
                <c:pt idx="42">
                  <c:v>779</c:v>
                </c:pt>
                <c:pt idx="43">
                  <c:v>657</c:v>
                </c:pt>
                <c:pt idx="44">
                  <c:v>608</c:v>
                </c:pt>
                <c:pt idx="45">
                  <c:v>696</c:v>
                </c:pt>
                <c:pt idx="46">
                  <c:v>797</c:v>
                </c:pt>
                <c:pt idx="47">
                  <c:v>733</c:v>
                </c:pt>
                <c:pt idx="48">
                  <c:v>742</c:v>
                </c:pt>
                <c:pt idx="49">
                  <c:v>610</c:v>
                </c:pt>
                <c:pt idx="50">
                  <c:v>935</c:v>
                </c:pt>
                <c:pt idx="51">
                  <c:v>952</c:v>
                </c:pt>
                <c:pt idx="52">
                  <c:v>763</c:v>
                </c:pt>
                <c:pt idx="53">
                  <c:v>756</c:v>
                </c:pt>
                <c:pt idx="54">
                  <c:v>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2-D94C-AA21-AF4716DD809E}"/>
            </c:ext>
          </c:extLst>
        </c:ser>
        <c:ser>
          <c:idx val="1"/>
          <c:order val="1"/>
          <c:tx>
            <c:strRef>
              <c:f>'SARS &amp; Flu HF&amp;Comm &amp;Typhi'!$M$71</c:f>
              <c:strCache>
                <c:ptCount val="1"/>
                <c:pt idx="0">
                  <c:v>Total Samples tested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'SARS &amp; Flu HF&amp;Comm &amp;Typhi'!$B$72:$C$126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&amp;Typhi'!$M$72:$M$126</c:f>
              <c:numCache>
                <c:formatCode>General</c:formatCode>
                <c:ptCount val="55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1</c:v>
                </c:pt>
                <c:pt idx="4">
                  <c:v>14</c:v>
                </c:pt>
                <c:pt idx="5">
                  <c:v>0</c:v>
                </c:pt>
                <c:pt idx="6">
                  <c:v>2</c:v>
                </c:pt>
                <c:pt idx="7">
                  <c:v>11</c:v>
                </c:pt>
                <c:pt idx="8">
                  <c:v>6</c:v>
                </c:pt>
                <c:pt idx="9">
                  <c:v>0</c:v>
                </c:pt>
                <c:pt idx="10">
                  <c:v>6</c:v>
                </c:pt>
                <c:pt idx="11">
                  <c:v>21</c:v>
                </c:pt>
                <c:pt idx="12">
                  <c:v>14</c:v>
                </c:pt>
                <c:pt idx="13">
                  <c:v>22</c:v>
                </c:pt>
                <c:pt idx="14">
                  <c:v>47</c:v>
                </c:pt>
                <c:pt idx="15">
                  <c:v>40</c:v>
                </c:pt>
                <c:pt idx="16">
                  <c:v>44</c:v>
                </c:pt>
                <c:pt idx="17">
                  <c:v>23</c:v>
                </c:pt>
                <c:pt idx="18">
                  <c:v>52</c:v>
                </c:pt>
                <c:pt idx="19">
                  <c:v>33</c:v>
                </c:pt>
                <c:pt idx="20">
                  <c:v>31</c:v>
                </c:pt>
                <c:pt idx="21">
                  <c:v>43</c:v>
                </c:pt>
                <c:pt idx="22">
                  <c:v>32</c:v>
                </c:pt>
                <c:pt idx="23">
                  <c:v>35</c:v>
                </c:pt>
                <c:pt idx="24">
                  <c:v>26</c:v>
                </c:pt>
                <c:pt idx="25">
                  <c:v>39</c:v>
                </c:pt>
                <c:pt idx="26">
                  <c:v>52</c:v>
                </c:pt>
                <c:pt idx="27">
                  <c:v>48</c:v>
                </c:pt>
                <c:pt idx="28">
                  <c:v>49</c:v>
                </c:pt>
                <c:pt idx="29">
                  <c:v>49</c:v>
                </c:pt>
                <c:pt idx="30">
                  <c:v>34</c:v>
                </c:pt>
                <c:pt idx="31">
                  <c:v>37</c:v>
                </c:pt>
                <c:pt idx="32">
                  <c:v>39</c:v>
                </c:pt>
                <c:pt idx="33">
                  <c:v>43</c:v>
                </c:pt>
                <c:pt idx="34">
                  <c:v>47</c:v>
                </c:pt>
                <c:pt idx="35">
                  <c:v>48</c:v>
                </c:pt>
                <c:pt idx="36">
                  <c:v>25</c:v>
                </c:pt>
                <c:pt idx="37">
                  <c:v>44</c:v>
                </c:pt>
                <c:pt idx="38">
                  <c:v>36</c:v>
                </c:pt>
                <c:pt idx="39">
                  <c:v>47</c:v>
                </c:pt>
                <c:pt idx="40">
                  <c:v>45</c:v>
                </c:pt>
                <c:pt idx="41">
                  <c:v>35</c:v>
                </c:pt>
                <c:pt idx="42">
                  <c:v>34</c:v>
                </c:pt>
                <c:pt idx="43">
                  <c:v>41</c:v>
                </c:pt>
                <c:pt idx="44">
                  <c:v>34</c:v>
                </c:pt>
                <c:pt idx="45">
                  <c:v>41</c:v>
                </c:pt>
                <c:pt idx="46">
                  <c:v>45</c:v>
                </c:pt>
                <c:pt idx="47">
                  <c:v>31</c:v>
                </c:pt>
                <c:pt idx="48">
                  <c:v>30</c:v>
                </c:pt>
                <c:pt idx="49">
                  <c:v>20</c:v>
                </c:pt>
                <c:pt idx="50">
                  <c:v>34</c:v>
                </c:pt>
                <c:pt idx="51">
                  <c:v>30</c:v>
                </c:pt>
                <c:pt idx="52">
                  <c:v>19</c:v>
                </c:pt>
                <c:pt idx="53">
                  <c:v>24</c:v>
                </c:pt>
                <c:pt idx="5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D2-D94C-AA21-AF4716DD809E}"/>
            </c:ext>
          </c:extLst>
        </c:ser>
        <c:ser>
          <c:idx val="2"/>
          <c:order val="2"/>
          <c:tx>
            <c:strRef>
              <c:f>'SARS &amp; Flu HF&amp;Comm &amp;Typhi'!$N$71</c:f>
              <c:strCache>
                <c:ptCount val="1"/>
                <c:pt idx="0">
                  <c:v>Total samples positive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'SARS &amp; Flu HF&amp;Comm &amp;Typhi'!$B$72:$C$126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&amp;Typhi'!$N$72:$N$126</c:f>
              <c:numCache>
                <c:formatCode>General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0</c:v>
                </c:pt>
                <c:pt idx="21">
                  <c:v>4</c:v>
                </c:pt>
                <c:pt idx="22">
                  <c:v>0</c:v>
                </c:pt>
                <c:pt idx="23">
                  <c:v>6</c:v>
                </c:pt>
                <c:pt idx="24">
                  <c:v>7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8</c:v>
                </c:pt>
                <c:pt idx="29">
                  <c:v>2</c:v>
                </c:pt>
                <c:pt idx="30">
                  <c:v>0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3</c:v>
                </c:pt>
                <c:pt idx="35">
                  <c:v>8</c:v>
                </c:pt>
                <c:pt idx="36">
                  <c:v>1</c:v>
                </c:pt>
                <c:pt idx="37">
                  <c:v>3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4</c:v>
                </c:pt>
                <c:pt idx="48">
                  <c:v>5</c:v>
                </c:pt>
                <c:pt idx="49">
                  <c:v>8</c:v>
                </c:pt>
                <c:pt idx="50">
                  <c:v>6</c:v>
                </c:pt>
                <c:pt idx="51">
                  <c:v>11</c:v>
                </c:pt>
                <c:pt idx="52">
                  <c:v>10</c:v>
                </c:pt>
                <c:pt idx="53">
                  <c:v>10</c:v>
                </c:pt>
                <c:pt idx="5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D2-D94C-AA21-AF4716DD80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2824960"/>
        <c:axId val="102957824"/>
      </c:barChart>
      <c:lineChart>
        <c:grouping val="standard"/>
        <c:varyColors val="0"/>
        <c:ser>
          <c:idx val="3"/>
          <c:order val="3"/>
          <c:tx>
            <c:strRef>
              <c:f>'SARS &amp; Flu HF&amp;Comm &amp;Typhi'!$O$71</c:f>
              <c:strCache>
                <c:ptCount val="1"/>
                <c:pt idx="0">
                  <c:v>Positivity Hospital Zimpeto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'SARS &amp; Flu HF&amp;Comm &amp;Typhi'!$B$72:$C$126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&amp;Typhi'!$O$72:$O$126</c:f>
              <c:numCache>
                <c:formatCode>0%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7.1428571428571425E-2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8.3333333333333329E-2</c:v>
                </c:pt>
                <c:pt idx="18">
                  <c:v>6.6666666666666666E-2</c:v>
                </c:pt>
                <c:pt idx="19">
                  <c:v>0.16666666666666666</c:v>
                </c:pt>
                <c:pt idx="20">
                  <c:v>0</c:v>
                </c:pt>
                <c:pt idx="21">
                  <c:v>0.2</c:v>
                </c:pt>
                <c:pt idx="22">
                  <c:v>0</c:v>
                </c:pt>
                <c:pt idx="23">
                  <c:v>0.2608695652173913</c:v>
                </c:pt>
                <c:pt idx="24">
                  <c:v>0.26923076923076922</c:v>
                </c:pt>
                <c:pt idx="25">
                  <c:v>0.12</c:v>
                </c:pt>
                <c:pt idx="26">
                  <c:v>8.6956521739130432E-2</c:v>
                </c:pt>
                <c:pt idx="27">
                  <c:v>0.04</c:v>
                </c:pt>
                <c:pt idx="28">
                  <c:v>0.24</c:v>
                </c:pt>
                <c:pt idx="29">
                  <c:v>0</c:v>
                </c:pt>
                <c:pt idx="30">
                  <c:v>0</c:v>
                </c:pt>
                <c:pt idx="31">
                  <c:v>0.1111111111111111</c:v>
                </c:pt>
                <c:pt idx="32">
                  <c:v>0.12</c:v>
                </c:pt>
                <c:pt idx="33">
                  <c:v>0.04</c:v>
                </c:pt>
                <c:pt idx="34">
                  <c:v>8.3333333333333329E-2</c:v>
                </c:pt>
                <c:pt idx="35">
                  <c:v>0.16666666666666666</c:v>
                </c:pt>
                <c:pt idx="36">
                  <c:v>5.8823529411764705E-2</c:v>
                </c:pt>
                <c:pt idx="37">
                  <c:v>0.1875</c:v>
                </c:pt>
                <c:pt idx="38">
                  <c:v>7.6923076923076927E-2</c:v>
                </c:pt>
                <c:pt idx="39">
                  <c:v>6.6666666666666666E-2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0.13333333333333333</c:v>
                </c:pt>
                <c:pt idx="44">
                  <c:v>6.6666666666666666E-2</c:v>
                </c:pt>
                <c:pt idx="45">
                  <c:v>0</c:v>
                </c:pt>
                <c:pt idx="46">
                  <c:v>0</c:v>
                </c:pt>
                <c:pt idx="47">
                  <c:v>0.26666666666666666</c:v>
                </c:pt>
                <c:pt idx="48">
                  <c:v>0.33333333333333331</c:v>
                </c:pt>
                <c:pt idx="49">
                  <c:v>0.53333333333333333</c:v>
                </c:pt>
                <c:pt idx="50">
                  <c:v>0.4</c:v>
                </c:pt>
                <c:pt idx="51">
                  <c:v>0.7857142857142857</c:v>
                </c:pt>
                <c:pt idx="52">
                  <c:v>0.7142857142857143</c:v>
                </c:pt>
                <c:pt idx="53">
                  <c:v>0.83333333333333337</c:v>
                </c:pt>
                <c:pt idx="54">
                  <c:v>0.20833333333333334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DD2-D94C-AA21-AF4716DD809E}"/>
            </c:ext>
          </c:extLst>
        </c:ser>
        <c:ser>
          <c:idx val="4"/>
          <c:order val="4"/>
          <c:tx>
            <c:strRef>
              <c:f>'SARS &amp; Flu HF&amp;Comm &amp;Typhi'!$P$71</c:f>
              <c:strCache>
                <c:ptCount val="1"/>
                <c:pt idx="0">
                  <c:v>Positivity Comunidade Zimpeto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'SARS &amp; Flu HF&amp;Comm &amp;Typhi'!$B$72:$C$126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&amp;Typhi'!$P$72:$P$126</c:f>
              <c:numCache>
                <c:formatCode>0%</c:formatCode>
                <c:ptCount val="55"/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0.18181818181818182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4.3478260869565216E-2</c:v>
                </c:pt>
                <c:pt idx="28">
                  <c:v>8.3333333333333329E-2</c:v>
                </c:pt>
                <c:pt idx="29">
                  <c:v>8.3333333333333329E-2</c:v>
                </c:pt>
                <c:pt idx="30">
                  <c:v>0</c:v>
                </c:pt>
                <c:pt idx="31">
                  <c:v>5.2631578947368418E-2</c:v>
                </c:pt>
                <c:pt idx="32">
                  <c:v>0</c:v>
                </c:pt>
                <c:pt idx="33">
                  <c:v>5.5555555555555552E-2</c:v>
                </c:pt>
                <c:pt idx="34">
                  <c:v>4.3478260869565216E-2</c:v>
                </c:pt>
                <c:pt idx="35">
                  <c:v>0.16666666666666666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DD2-D94C-AA21-AF4716DD8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969344"/>
        <c:axId val="102959360"/>
      </c:lineChart>
      <c:catAx>
        <c:axId val="10282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57824"/>
        <c:crosses val="autoZero"/>
        <c:auto val="1"/>
        <c:lblAlgn val="ctr"/>
        <c:lblOffset val="100"/>
        <c:noMultiLvlLbl val="0"/>
      </c:catAx>
      <c:valAx>
        <c:axId val="10295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4960"/>
        <c:crosses val="autoZero"/>
        <c:crossBetween val="between"/>
      </c:valAx>
      <c:valAx>
        <c:axId val="10295936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69344"/>
        <c:crosses val="max"/>
        <c:crossBetween val="between"/>
      </c:valAx>
      <c:catAx>
        <c:axId val="102969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959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531173578303463"/>
          <c:y val="0.91453682675025194"/>
          <c:w val="0.73363378863390305"/>
          <c:h val="7.80215682240370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SARS-CoV-2 Comunidade Zimpeto</a:t>
            </a:r>
          </a:p>
        </c:rich>
      </c:tx>
      <c:layout>
        <c:manualLayout>
          <c:xMode val="edge"/>
          <c:yMode val="edge"/>
          <c:x val="0.45447551201376968"/>
          <c:y val="6.852104489724301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9963591080454976E-2"/>
          <c:y val="0.17214353080516773"/>
          <c:w val="0.91968653328823124"/>
          <c:h val="0.667258297617862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'SARS &amp; Flu HF&amp;Comm &amp;Typhi'!$H$6</c:f>
              <c:strCache>
                <c:ptCount val="1"/>
                <c:pt idx="0">
                  <c:v># Cases reported at Comunidade Zimpeto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'SARS &amp; Flu HF&amp;Comm &amp;Typhi'!$B$7:$C$61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&amp;Typhi'!$H$7:$H$61</c:f>
              <c:numCache>
                <c:formatCode>General</c:formatCode>
                <c:ptCount val="55"/>
                <c:pt idx="13">
                  <c:v>20</c:v>
                </c:pt>
                <c:pt idx="14">
                  <c:v>27</c:v>
                </c:pt>
                <c:pt idx="15">
                  <c:v>17</c:v>
                </c:pt>
                <c:pt idx="16">
                  <c:v>20</c:v>
                </c:pt>
                <c:pt idx="17">
                  <c:v>24</c:v>
                </c:pt>
                <c:pt idx="18">
                  <c:v>34</c:v>
                </c:pt>
                <c:pt idx="19">
                  <c:v>19</c:v>
                </c:pt>
                <c:pt idx="20">
                  <c:v>42</c:v>
                </c:pt>
                <c:pt idx="21">
                  <c:v>30</c:v>
                </c:pt>
                <c:pt idx="22">
                  <c:v>41</c:v>
                </c:pt>
                <c:pt idx="23">
                  <c:v>26</c:v>
                </c:pt>
                <c:pt idx="24">
                  <c:v>0</c:v>
                </c:pt>
                <c:pt idx="25">
                  <c:v>36</c:v>
                </c:pt>
                <c:pt idx="26">
                  <c:v>55</c:v>
                </c:pt>
                <c:pt idx="27">
                  <c:v>31</c:v>
                </c:pt>
                <c:pt idx="28">
                  <c:v>38</c:v>
                </c:pt>
                <c:pt idx="29">
                  <c:v>47</c:v>
                </c:pt>
                <c:pt idx="30">
                  <c:v>39</c:v>
                </c:pt>
                <c:pt idx="31">
                  <c:v>64</c:v>
                </c:pt>
                <c:pt idx="32">
                  <c:v>77</c:v>
                </c:pt>
                <c:pt idx="33">
                  <c:v>89</c:v>
                </c:pt>
                <c:pt idx="34">
                  <c:v>66</c:v>
                </c:pt>
                <c:pt idx="35">
                  <c:v>54</c:v>
                </c:pt>
                <c:pt idx="36">
                  <c:v>80</c:v>
                </c:pt>
                <c:pt idx="37">
                  <c:v>65</c:v>
                </c:pt>
                <c:pt idx="38">
                  <c:v>71</c:v>
                </c:pt>
                <c:pt idx="39">
                  <c:v>74</c:v>
                </c:pt>
                <c:pt idx="40">
                  <c:v>56</c:v>
                </c:pt>
                <c:pt idx="41">
                  <c:v>47</c:v>
                </c:pt>
                <c:pt idx="42">
                  <c:v>39</c:v>
                </c:pt>
                <c:pt idx="43">
                  <c:v>47</c:v>
                </c:pt>
                <c:pt idx="44">
                  <c:v>39</c:v>
                </c:pt>
                <c:pt idx="45">
                  <c:v>36</c:v>
                </c:pt>
                <c:pt idx="46">
                  <c:v>46</c:v>
                </c:pt>
                <c:pt idx="47">
                  <c:v>34</c:v>
                </c:pt>
                <c:pt idx="48">
                  <c:v>31</c:v>
                </c:pt>
                <c:pt idx="49">
                  <c:v>25</c:v>
                </c:pt>
                <c:pt idx="50">
                  <c:v>27</c:v>
                </c:pt>
                <c:pt idx="51">
                  <c:v>22</c:v>
                </c:pt>
                <c:pt idx="52">
                  <c:v>34</c:v>
                </c:pt>
                <c:pt idx="53">
                  <c:v>14</c:v>
                </c:pt>
                <c:pt idx="5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E-5A45-AE29-90700F332B72}"/>
            </c:ext>
          </c:extLst>
        </c:ser>
        <c:ser>
          <c:idx val="1"/>
          <c:order val="1"/>
          <c:tx>
            <c:strRef>
              <c:f>'SARS &amp; Flu HF&amp;Comm &amp;Typhi'!$I$6</c:f>
              <c:strCache>
                <c:ptCount val="1"/>
                <c:pt idx="0">
                  <c:v># Samples Tested Comunidade Zimpeto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'SARS &amp; Flu HF&amp;Comm &amp;Typhi'!$B$7:$C$61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&amp;Typhi'!$I$7:$I$61</c:f>
              <c:numCache>
                <c:formatCode>General</c:formatCode>
                <c:ptCount val="55"/>
                <c:pt idx="13">
                  <c:v>5</c:v>
                </c:pt>
                <c:pt idx="14">
                  <c:v>21</c:v>
                </c:pt>
                <c:pt idx="15">
                  <c:v>14</c:v>
                </c:pt>
                <c:pt idx="16">
                  <c:v>19</c:v>
                </c:pt>
                <c:pt idx="17">
                  <c:v>11</c:v>
                </c:pt>
                <c:pt idx="18">
                  <c:v>22</c:v>
                </c:pt>
                <c:pt idx="19">
                  <c:v>15</c:v>
                </c:pt>
                <c:pt idx="20">
                  <c:v>18</c:v>
                </c:pt>
                <c:pt idx="21">
                  <c:v>23</c:v>
                </c:pt>
                <c:pt idx="22">
                  <c:v>30</c:v>
                </c:pt>
                <c:pt idx="23">
                  <c:v>12</c:v>
                </c:pt>
                <c:pt idx="24">
                  <c:v>0</c:v>
                </c:pt>
                <c:pt idx="25">
                  <c:v>14</c:v>
                </c:pt>
                <c:pt idx="26">
                  <c:v>29</c:v>
                </c:pt>
                <c:pt idx="27">
                  <c:v>23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19</c:v>
                </c:pt>
                <c:pt idx="32">
                  <c:v>14</c:v>
                </c:pt>
                <c:pt idx="33">
                  <c:v>18</c:v>
                </c:pt>
                <c:pt idx="34">
                  <c:v>23</c:v>
                </c:pt>
                <c:pt idx="35">
                  <c:v>24</c:v>
                </c:pt>
                <c:pt idx="36">
                  <c:v>8</c:v>
                </c:pt>
                <c:pt idx="37">
                  <c:v>28</c:v>
                </c:pt>
                <c:pt idx="38">
                  <c:v>23</c:v>
                </c:pt>
                <c:pt idx="39">
                  <c:v>32</c:v>
                </c:pt>
                <c:pt idx="40">
                  <c:v>32</c:v>
                </c:pt>
                <c:pt idx="41">
                  <c:v>20</c:v>
                </c:pt>
                <c:pt idx="42">
                  <c:v>20</c:v>
                </c:pt>
                <c:pt idx="43">
                  <c:v>26</c:v>
                </c:pt>
                <c:pt idx="44">
                  <c:v>19</c:v>
                </c:pt>
                <c:pt idx="45">
                  <c:v>26</c:v>
                </c:pt>
                <c:pt idx="46">
                  <c:v>30</c:v>
                </c:pt>
                <c:pt idx="47">
                  <c:v>16</c:v>
                </c:pt>
                <c:pt idx="48">
                  <c:v>15</c:v>
                </c:pt>
                <c:pt idx="49">
                  <c:v>5</c:v>
                </c:pt>
                <c:pt idx="50">
                  <c:v>19</c:v>
                </c:pt>
                <c:pt idx="51">
                  <c:v>16</c:v>
                </c:pt>
                <c:pt idx="52">
                  <c:v>5</c:v>
                </c:pt>
                <c:pt idx="53">
                  <c:v>12</c:v>
                </c:pt>
                <c:pt idx="5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FE-5A45-AE29-90700F332B72}"/>
            </c:ext>
          </c:extLst>
        </c:ser>
        <c:ser>
          <c:idx val="2"/>
          <c:order val="2"/>
          <c:tx>
            <c:strRef>
              <c:f>'SARS &amp; Flu HF&amp;Comm &amp;Typhi'!$J$6</c:f>
              <c:strCache>
                <c:ptCount val="1"/>
                <c:pt idx="0">
                  <c:v># Positive cases Comunidade Zimpeto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'SARS &amp; Flu HF&amp;Comm &amp;Typhi'!$B$7:$C$61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&amp;Typhi'!$J$7:$J$61</c:f>
              <c:numCache>
                <c:formatCode>General</c:formatCode>
                <c:ptCount val="55"/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FE-5A45-AE29-90700F332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3150336"/>
        <c:axId val="103151872"/>
      </c:barChart>
      <c:lineChart>
        <c:grouping val="standard"/>
        <c:varyColors val="0"/>
        <c:ser>
          <c:idx val="3"/>
          <c:order val="3"/>
          <c:tx>
            <c:strRef>
              <c:f>'SARS &amp; Flu HF&amp;Comm &amp;Typhi'!$K$6</c:f>
              <c:strCache>
                <c:ptCount val="1"/>
                <c:pt idx="0">
                  <c:v>Positivity Comunidade Zimpeto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'SARS &amp; Flu HF&amp;Comm &amp;Typhi'!$B$7:$C$61</c:f>
              <c:multiLvlStrCache>
                <c:ptCount val="55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  <c:pt idx="52">
                    <c:v>WK47</c:v>
                  </c:pt>
                  <c:pt idx="53">
                    <c:v>WK48</c:v>
                  </c:pt>
                  <c:pt idx="54">
                    <c:v>WK49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&amp;Typhi'!$K$7:$K$61</c:f>
              <c:numCache>
                <c:formatCode>General</c:formatCode>
                <c:ptCount val="55"/>
                <c:pt idx="13" formatCode="0%">
                  <c:v>0</c:v>
                </c:pt>
                <c:pt idx="14" formatCode="0%">
                  <c:v>0</c:v>
                </c:pt>
                <c:pt idx="15" formatCode="0%">
                  <c:v>0</c:v>
                </c:pt>
                <c:pt idx="16" formatCode="0%">
                  <c:v>0</c:v>
                </c:pt>
                <c:pt idx="17" formatCode="0%">
                  <c:v>9.0909090909090912E-2</c:v>
                </c:pt>
                <c:pt idx="18" formatCode="0%">
                  <c:v>0</c:v>
                </c:pt>
                <c:pt idx="19" formatCode="0%">
                  <c:v>0</c:v>
                </c:pt>
                <c:pt idx="20" formatCode="0%">
                  <c:v>0</c:v>
                </c:pt>
                <c:pt idx="21" formatCode="0%">
                  <c:v>0</c:v>
                </c:pt>
                <c:pt idx="22" formatCode="0%">
                  <c:v>0</c:v>
                </c:pt>
                <c:pt idx="23" formatCode="0%">
                  <c:v>0</c:v>
                </c:pt>
                <c:pt idx="24" formatCode="0%">
                  <c:v>0</c:v>
                </c:pt>
                <c:pt idx="25" formatCode="0%">
                  <c:v>7.1428571428571425E-2</c:v>
                </c:pt>
                <c:pt idx="26" formatCode="0%">
                  <c:v>0</c:v>
                </c:pt>
                <c:pt idx="27" formatCode="0%">
                  <c:v>0</c:v>
                </c:pt>
                <c:pt idx="28" formatCode="0%">
                  <c:v>0</c:v>
                </c:pt>
                <c:pt idx="29" formatCode="0%">
                  <c:v>0</c:v>
                </c:pt>
                <c:pt idx="30" formatCode="0%">
                  <c:v>0</c:v>
                </c:pt>
                <c:pt idx="31" formatCode="0%">
                  <c:v>0</c:v>
                </c:pt>
                <c:pt idx="32" formatCode="0%">
                  <c:v>0</c:v>
                </c:pt>
                <c:pt idx="33" formatCode="0%">
                  <c:v>0</c:v>
                </c:pt>
                <c:pt idx="34" formatCode="0%">
                  <c:v>0</c:v>
                </c:pt>
                <c:pt idx="35" formatCode="0%">
                  <c:v>0</c:v>
                </c:pt>
                <c:pt idx="36" formatCode="0%">
                  <c:v>0</c:v>
                </c:pt>
                <c:pt idx="37" formatCode="0%">
                  <c:v>0</c:v>
                </c:pt>
                <c:pt idx="38" formatCode="0%">
                  <c:v>0</c:v>
                </c:pt>
                <c:pt idx="39" formatCode="0%">
                  <c:v>0</c:v>
                </c:pt>
                <c:pt idx="40" formatCode="0%">
                  <c:v>0</c:v>
                </c:pt>
                <c:pt idx="41" formatCode="0%">
                  <c:v>0</c:v>
                </c:pt>
                <c:pt idx="42" formatCode="0%">
                  <c:v>0</c:v>
                </c:pt>
                <c:pt idx="43" formatCode="0%">
                  <c:v>0</c:v>
                </c:pt>
                <c:pt idx="44" formatCode="0%">
                  <c:v>0</c:v>
                </c:pt>
                <c:pt idx="45" formatCode="0%">
                  <c:v>0</c:v>
                </c:pt>
                <c:pt idx="46" formatCode="0%">
                  <c:v>0</c:v>
                </c:pt>
                <c:pt idx="47" formatCode="0%">
                  <c:v>0</c:v>
                </c:pt>
                <c:pt idx="48" formatCode="0%">
                  <c:v>0</c:v>
                </c:pt>
                <c:pt idx="49" formatCode="0%">
                  <c:v>0</c:v>
                </c:pt>
                <c:pt idx="50" formatCode="0%">
                  <c:v>0</c:v>
                </c:pt>
                <c:pt idx="51" formatCode="0%">
                  <c:v>0</c:v>
                </c:pt>
                <c:pt idx="52" formatCode="0%">
                  <c:v>0</c:v>
                </c:pt>
                <c:pt idx="53" formatCode="0%">
                  <c:v>0</c:v>
                </c:pt>
                <c:pt idx="54" formatCode="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CFE-5A45-AE29-90700F332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732160"/>
        <c:axId val="104730624"/>
      </c:lineChart>
      <c:catAx>
        <c:axId val="10315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51872"/>
        <c:crosses val="autoZero"/>
        <c:auto val="1"/>
        <c:lblAlgn val="ctr"/>
        <c:lblOffset val="100"/>
        <c:noMultiLvlLbl val="0"/>
      </c:catAx>
      <c:valAx>
        <c:axId val="103151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50336"/>
        <c:crosses val="autoZero"/>
        <c:crossBetween val="between"/>
      </c:valAx>
      <c:valAx>
        <c:axId val="104730624"/>
        <c:scaling>
          <c:orientation val="minMax"/>
          <c:max val="0.8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32160"/>
        <c:crosses val="max"/>
        <c:crossBetween val="between"/>
      </c:valAx>
      <c:catAx>
        <c:axId val="104732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730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727583380598637"/>
          <c:y val="0.94845652047495355"/>
          <c:w val="0.60236924748141463"/>
          <c:h val="5.09822299402908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 dirty="0">
                <a:solidFill>
                  <a:sysClr val="windowText" lastClr="000000"/>
                </a:solidFill>
              </a:rPr>
              <a:t>SARS-CoV-2 and Influenza positivity rate _combined Hospital Zimpeto and Comunidade Zimpeto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'SARS &amp; Flu HF&amp;Comm &amp;Typhi'!$D$144</c:f>
              <c:strCache>
                <c:ptCount val="1"/>
                <c:pt idx="0">
                  <c:v>SARS-CoV-2 Positivity Hospital Zimpeto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'SARS &amp; Flu HF&amp;Comm &amp;Typhi'!$B$145:$C$196</c:f>
              <c:multiLvlStrCache>
                <c:ptCount val="52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&amp;Typhi'!$D$145:$D$196</c:f>
              <c:numCache>
                <c:formatCode>0%</c:formatCode>
                <c:ptCount val="52"/>
                <c:pt idx="0">
                  <c:v>8.3333333333333329E-2</c:v>
                </c:pt>
                <c:pt idx="1">
                  <c:v>0.18181818181818182</c:v>
                </c:pt>
                <c:pt idx="2">
                  <c:v>0.6</c:v>
                </c:pt>
                <c:pt idx="3">
                  <c:v>0</c:v>
                </c:pt>
                <c:pt idx="4">
                  <c:v>0.42857142857142855</c:v>
                </c:pt>
                <c:pt idx="5">
                  <c:v>0</c:v>
                </c:pt>
                <c:pt idx="6">
                  <c:v>0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4.7619047619047616E-2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3.8461538461538464E-2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4.3478260869565216E-2</c:v>
                </c:pt>
                <c:pt idx="24">
                  <c:v>3.8461538461538464E-2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6.6666666666666666E-2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2B-EF4C-8521-8D752C6B3B34}"/>
            </c:ext>
          </c:extLst>
        </c:ser>
        <c:ser>
          <c:idx val="1"/>
          <c:order val="1"/>
          <c:tx>
            <c:strRef>
              <c:f>'SARS &amp; Flu HF&amp;Comm &amp;Typhi'!$E$144</c:f>
              <c:strCache>
                <c:ptCount val="1"/>
                <c:pt idx="0">
                  <c:v>SARS-CoV-2 Positivity Comunidade Zimpeto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'SARS &amp; Flu HF&amp;Comm &amp;Typhi'!$B$145:$C$196</c:f>
              <c:multiLvlStrCache>
                <c:ptCount val="52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&amp;Typhi'!$E$145:$E$196</c:f>
              <c:numCache>
                <c:formatCode>0%</c:formatCode>
                <c:ptCount val="52"/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7.1428571428571425E-2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2B-EF4C-8521-8D752C6B3B34}"/>
            </c:ext>
          </c:extLst>
        </c:ser>
        <c:ser>
          <c:idx val="2"/>
          <c:order val="2"/>
          <c:tx>
            <c:strRef>
              <c:f>'SARS &amp; Flu HF&amp;Comm &amp;Typhi'!$F$144</c:f>
              <c:strCache>
                <c:ptCount val="1"/>
                <c:pt idx="0">
                  <c:v>Influenza Positivity Hospital Zimpeto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'SARS &amp; Flu HF&amp;Comm &amp;Typhi'!$B$145:$C$196</c:f>
              <c:multiLvlStrCache>
                <c:ptCount val="52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&amp;Typhi'!$F$145:$F$196</c:f>
              <c:numCache>
                <c:formatCode>0%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7.1428571428571425E-2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8.3333333333333329E-2</c:v>
                </c:pt>
                <c:pt idx="18">
                  <c:v>6.6666666666666666E-2</c:v>
                </c:pt>
                <c:pt idx="19">
                  <c:v>0.16666666666666666</c:v>
                </c:pt>
                <c:pt idx="20">
                  <c:v>0</c:v>
                </c:pt>
                <c:pt idx="21">
                  <c:v>0.2</c:v>
                </c:pt>
                <c:pt idx="22">
                  <c:v>0</c:v>
                </c:pt>
                <c:pt idx="23">
                  <c:v>0.2608695652173913</c:v>
                </c:pt>
                <c:pt idx="24">
                  <c:v>0.26923076923076922</c:v>
                </c:pt>
                <c:pt idx="25">
                  <c:v>0.12</c:v>
                </c:pt>
                <c:pt idx="26">
                  <c:v>8.6956521739130432E-2</c:v>
                </c:pt>
                <c:pt idx="27">
                  <c:v>0.04</c:v>
                </c:pt>
                <c:pt idx="28">
                  <c:v>0.24</c:v>
                </c:pt>
                <c:pt idx="29">
                  <c:v>0</c:v>
                </c:pt>
                <c:pt idx="30">
                  <c:v>0</c:v>
                </c:pt>
                <c:pt idx="31">
                  <c:v>0.1111111111111111</c:v>
                </c:pt>
                <c:pt idx="32">
                  <c:v>0.12</c:v>
                </c:pt>
                <c:pt idx="33">
                  <c:v>0.04</c:v>
                </c:pt>
                <c:pt idx="34">
                  <c:v>8.3333333333333329E-2</c:v>
                </c:pt>
                <c:pt idx="35">
                  <c:v>0.16666666666666666</c:v>
                </c:pt>
                <c:pt idx="36">
                  <c:v>5.8823529411764705E-2</c:v>
                </c:pt>
                <c:pt idx="37">
                  <c:v>0.1875</c:v>
                </c:pt>
                <c:pt idx="38">
                  <c:v>7.6923076923076927E-2</c:v>
                </c:pt>
                <c:pt idx="39">
                  <c:v>6.6666666666666666E-2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0.13333333333333333</c:v>
                </c:pt>
                <c:pt idx="44">
                  <c:v>6.6666666666666666E-2</c:v>
                </c:pt>
                <c:pt idx="45">
                  <c:v>0</c:v>
                </c:pt>
                <c:pt idx="46">
                  <c:v>0</c:v>
                </c:pt>
                <c:pt idx="47">
                  <c:v>0.26666666666666666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2B-EF4C-8521-8D752C6B3B34}"/>
            </c:ext>
          </c:extLst>
        </c:ser>
        <c:ser>
          <c:idx val="3"/>
          <c:order val="3"/>
          <c:tx>
            <c:strRef>
              <c:f>'SARS &amp; Flu HF&amp;Comm &amp;Typhi'!$G$144</c:f>
              <c:strCache>
                <c:ptCount val="1"/>
                <c:pt idx="0">
                  <c:v>Influenza Positivity Comunidade Zimpeto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'SARS &amp; Flu HF&amp;Comm &amp;Typhi'!$B$145:$C$196</c:f>
              <c:multiLvlStrCache>
                <c:ptCount val="52"/>
                <c:lvl>
                  <c:pt idx="0">
                    <c:v>WK47</c:v>
                  </c:pt>
                  <c:pt idx="1">
                    <c:v>WK48</c:v>
                  </c:pt>
                  <c:pt idx="2">
                    <c:v>WK49</c:v>
                  </c:pt>
                  <c:pt idx="3">
                    <c:v>WK50</c:v>
                  </c:pt>
                  <c:pt idx="4">
                    <c:v>WK51</c:v>
                  </c:pt>
                  <c:pt idx="5">
                    <c:v>WK52</c:v>
                  </c:pt>
                  <c:pt idx="6">
                    <c:v>Wk1</c:v>
                  </c:pt>
                  <c:pt idx="7">
                    <c:v>WK2</c:v>
                  </c:pt>
                  <c:pt idx="8">
                    <c:v>WK3</c:v>
                  </c:pt>
                  <c:pt idx="9">
                    <c:v>WK4</c:v>
                  </c:pt>
                  <c:pt idx="10">
                    <c:v>WK5</c:v>
                  </c:pt>
                  <c:pt idx="11">
                    <c:v>WK6</c:v>
                  </c:pt>
                  <c:pt idx="12">
                    <c:v>WK7</c:v>
                  </c:pt>
                  <c:pt idx="13">
                    <c:v>WK8</c:v>
                  </c:pt>
                  <c:pt idx="14">
                    <c:v>WK9</c:v>
                  </c:pt>
                  <c:pt idx="15">
                    <c:v>WK10</c:v>
                  </c:pt>
                  <c:pt idx="16">
                    <c:v>WK11</c:v>
                  </c:pt>
                  <c:pt idx="17">
                    <c:v>WK12</c:v>
                  </c:pt>
                  <c:pt idx="18">
                    <c:v>WK13</c:v>
                  </c:pt>
                  <c:pt idx="19">
                    <c:v>WK14</c:v>
                  </c:pt>
                  <c:pt idx="20">
                    <c:v>WK15</c:v>
                  </c:pt>
                  <c:pt idx="21">
                    <c:v>WK16</c:v>
                  </c:pt>
                  <c:pt idx="22">
                    <c:v>WK17</c:v>
                  </c:pt>
                  <c:pt idx="23">
                    <c:v>WK18</c:v>
                  </c:pt>
                  <c:pt idx="24">
                    <c:v>WK19</c:v>
                  </c:pt>
                  <c:pt idx="25">
                    <c:v>WK20</c:v>
                  </c:pt>
                  <c:pt idx="26">
                    <c:v>WK21</c:v>
                  </c:pt>
                  <c:pt idx="27">
                    <c:v>WK22</c:v>
                  </c:pt>
                  <c:pt idx="28">
                    <c:v>WK23</c:v>
                  </c:pt>
                  <c:pt idx="29">
                    <c:v>WK24</c:v>
                  </c:pt>
                  <c:pt idx="30">
                    <c:v>WK25</c:v>
                  </c:pt>
                  <c:pt idx="31">
                    <c:v>WK26</c:v>
                  </c:pt>
                  <c:pt idx="32">
                    <c:v>WK27</c:v>
                  </c:pt>
                  <c:pt idx="33">
                    <c:v>WK28</c:v>
                  </c:pt>
                  <c:pt idx="34">
                    <c:v>WK29</c:v>
                  </c:pt>
                  <c:pt idx="35">
                    <c:v>WK30</c:v>
                  </c:pt>
                  <c:pt idx="36">
                    <c:v>WK31</c:v>
                  </c:pt>
                  <c:pt idx="37">
                    <c:v>WK32</c:v>
                  </c:pt>
                  <c:pt idx="38">
                    <c:v>WK33</c:v>
                  </c:pt>
                  <c:pt idx="39">
                    <c:v>WK34</c:v>
                  </c:pt>
                  <c:pt idx="40">
                    <c:v>WK35</c:v>
                  </c:pt>
                  <c:pt idx="41">
                    <c:v>WK36</c:v>
                  </c:pt>
                  <c:pt idx="42">
                    <c:v>WK37</c:v>
                  </c:pt>
                  <c:pt idx="43">
                    <c:v>WK38</c:v>
                  </c:pt>
                  <c:pt idx="44">
                    <c:v>WK39</c:v>
                  </c:pt>
                  <c:pt idx="45">
                    <c:v>WK40</c:v>
                  </c:pt>
                  <c:pt idx="46">
                    <c:v>WK41</c:v>
                  </c:pt>
                  <c:pt idx="47">
                    <c:v>WK42</c:v>
                  </c:pt>
                  <c:pt idx="48">
                    <c:v>WK43</c:v>
                  </c:pt>
                  <c:pt idx="49">
                    <c:v>WK44</c:v>
                  </c:pt>
                  <c:pt idx="50">
                    <c:v>WK45</c:v>
                  </c:pt>
                  <c:pt idx="51">
                    <c:v>WK46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'SARS &amp; Flu HF&amp;Comm &amp;Typhi'!$G$145:$G$196</c:f>
              <c:numCache>
                <c:formatCode>0%</c:formatCode>
                <c:ptCount val="52"/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0.18181818181818182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4.3478260869565216E-2</c:v>
                </c:pt>
                <c:pt idx="28">
                  <c:v>8.3333333333333329E-2</c:v>
                </c:pt>
                <c:pt idx="29">
                  <c:v>8.3333333333333329E-2</c:v>
                </c:pt>
                <c:pt idx="30">
                  <c:v>0</c:v>
                </c:pt>
                <c:pt idx="31">
                  <c:v>5.2631578947368418E-2</c:v>
                </c:pt>
                <c:pt idx="32">
                  <c:v>0</c:v>
                </c:pt>
                <c:pt idx="33">
                  <c:v>5.5555555555555552E-2</c:v>
                </c:pt>
                <c:pt idx="34">
                  <c:v>4.3478260869565216E-2</c:v>
                </c:pt>
                <c:pt idx="35">
                  <c:v>0.16666666666666666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2B-EF4C-8521-8D752C6B3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20320"/>
        <c:axId val="116921856"/>
      </c:lineChart>
      <c:catAx>
        <c:axId val="11692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21856"/>
        <c:crosses val="autoZero"/>
        <c:auto val="1"/>
        <c:lblAlgn val="ctr"/>
        <c:lblOffset val="100"/>
        <c:noMultiLvlLbl val="0"/>
      </c:catAx>
      <c:valAx>
        <c:axId val="11692185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2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INFLUENZA!$D$2</c:f>
              <c:strCache>
                <c:ptCount val="1"/>
                <c:pt idx="0">
                  <c:v>Samples Tested Hospital Zimpeto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INFLUENZA!$C$3:$C$57</c:f>
              <c:strCache>
                <c:ptCount val="55"/>
                <c:pt idx="0">
                  <c:v>WK47</c:v>
                </c:pt>
                <c:pt idx="1">
                  <c:v>WK48</c:v>
                </c:pt>
                <c:pt idx="2">
                  <c:v>WK49</c:v>
                </c:pt>
                <c:pt idx="3">
                  <c:v>WK50</c:v>
                </c:pt>
                <c:pt idx="4">
                  <c:v>WK51</c:v>
                </c:pt>
                <c:pt idx="5">
                  <c:v>WK52</c:v>
                </c:pt>
                <c:pt idx="6">
                  <c:v>Wk1</c:v>
                </c:pt>
                <c:pt idx="7">
                  <c:v>WK2</c:v>
                </c:pt>
                <c:pt idx="8">
                  <c:v>WK3</c:v>
                </c:pt>
                <c:pt idx="9">
                  <c:v>WK4</c:v>
                </c:pt>
                <c:pt idx="10">
                  <c:v>WK5</c:v>
                </c:pt>
                <c:pt idx="11">
                  <c:v>WK6</c:v>
                </c:pt>
                <c:pt idx="12">
                  <c:v>WK7</c:v>
                </c:pt>
                <c:pt idx="13">
                  <c:v>WK8</c:v>
                </c:pt>
                <c:pt idx="14">
                  <c:v>WK9</c:v>
                </c:pt>
                <c:pt idx="15">
                  <c:v>WK10</c:v>
                </c:pt>
                <c:pt idx="16">
                  <c:v>WK11</c:v>
                </c:pt>
                <c:pt idx="17">
                  <c:v>WK12</c:v>
                </c:pt>
                <c:pt idx="18">
                  <c:v>WK13</c:v>
                </c:pt>
                <c:pt idx="19">
                  <c:v>WK14</c:v>
                </c:pt>
                <c:pt idx="20">
                  <c:v>WK15</c:v>
                </c:pt>
                <c:pt idx="21">
                  <c:v>WK16</c:v>
                </c:pt>
                <c:pt idx="22">
                  <c:v>WK17</c:v>
                </c:pt>
                <c:pt idx="23">
                  <c:v>WK18</c:v>
                </c:pt>
                <c:pt idx="24">
                  <c:v>WK19</c:v>
                </c:pt>
                <c:pt idx="25">
                  <c:v>WK20</c:v>
                </c:pt>
                <c:pt idx="26">
                  <c:v>WK21</c:v>
                </c:pt>
                <c:pt idx="27">
                  <c:v>WK22</c:v>
                </c:pt>
                <c:pt idx="28">
                  <c:v>WK23</c:v>
                </c:pt>
                <c:pt idx="29">
                  <c:v>WK24</c:v>
                </c:pt>
                <c:pt idx="30">
                  <c:v>WK25</c:v>
                </c:pt>
                <c:pt idx="31">
                  <c:v>WK26</c:v>
                </c:pt>
                <c:pt idx="32">
                  <c:v>WK27</c:v>
                </c:pt>
                <c:pt idx="33">
                  <c:v>WK28</c:v>
                </c:pt>
                <c:pt idx="34">
                  <c:v>WK29</c:v>
                </c:pt>
                <c:pt idx="35">
                  <c:v>WK30</c:v>
                </c:pt>
                <c:pt idx="36">
                  <c:v>WK31</c:v>
                </c:pt>
                <c:pt idx="37">
                  <c:v>WK32</c:v>
                </c:pt>
                <c:pt idx="38">
                  <c:v>WK33</c:v>
                </c:pt>
                <c:pt idx="39">
                  <c:v>WK34</c:v>
                </c:pt>
                <c:pt idx="40">
                  <c:v>WK35</c:v>
                </c:pt>
                <c:pt idx="41">
                  <c:v>WK36</c:v>
                </c:pt>
                <c:pt idx="42">
                  <c:v>WK37</c:v>
                </c:pt>
                <c:pt idx="43">
                  <c:v>WK38</c:v>
                </c:pt>
                <c:pt idx="44">
                  <c:v>WK39</c:v>
                </c:pt>
                <c:pt idx="45">
                  <c:v>WK40</c:v>
                </c:pt>
                <c:pt idx="46">
                  <c:v>WK41</c:v>
                </c:pt>
                <c:pt idx="47">
                  <c:v>WK42</c:v>
                </c:pt>
                <c:pt idx="48">
                  <c:v>WK43</c:v>
                </c:pt>
                <c:pt idx="49">
                  <c:v>WK44</c:v>
                </c:pt>
                <c:pt idx="50">
                  <c:v>WK45</c:v>
                </c:pt>
                <c:pt idx="51">
                  <c:v>WK46</c:v>
                </c:pt>
                <c:pt idx="52">
                  <c:v>WK47</c:v>
                </c:pt>
                <c:pt idx="53">
                  <c:v>WK48</c:v>
                </c:pt>
                <c:pt idx="54">
                  <c:v>WK49</c:v>
                </c:pt>
              </c:strCache>
            </c:strRef>
          </c:cat>
          <c:val>
            <c:numRef>
              <c:f>INFLUENZA!$D$3:$D$57</c:f>
              <c:numCache>
                <c:formatCode>General</c:formatCode>
                <c:ptCount val="55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1</c:v>
                </c:pt>
                <c:pt idx="4">
                  <c:v>14</c:v>
                </c:pt>
                <c:pt idx="5">
                  <c:v>0</c:v>
                </c:pt>
                <c:pt idx="6">
                  <c:v>2</c:v>
                </c:pt>
                <c:pt idx="7">
                  <c:v>11</c:v>
                </c:pt>
                <c:pt idx="8">
                  <c:v>6</c:v>
                </c:pt>
                <c:pt idx="9">
                  <c:v>0</c:v>
                </c:pt>
                <c:pt idx="10">
                  <c:v>6</c:v>
                </c:pt>
                <c:pt idx="11">
                  <c:v>21</c:v>
                </c:pt>
                <c:pt idx="12">
                  <c:v>14</c:v>
                </c:pt>
                <c:pt idx="13">
                  <c:v>17</c:v>
                </c:pt>
                <c:pt idx="14">
                  <c:v>26</c:v>
                </c:pt>
                <c:pt idx="15">
                  <c:v>26</c:v>
                </c:pt>
                <c:pt idx="16">
                  <c:v>25</c:v>
                </c:pt>
                <c:pt idx="17">
                  <c:v>12</c:v>
                </c:pt>
                <c:pt idx="18">
                  <c:v>30</c:v>
                </c:pt>
                <c:pt idx="19">
                  <c:v>18</c:v>
                </c:pt>
                <c:pt idx="20">
                  <c:v>13</c:v>
                </c:pt>
                <c:pt idx="21">
                  <c:v>20</c:v>
                </c:pt>
                <c:pt idx="22">
                  <c:v>2</c:v>
                </c:pt>
                <c:pt idx="23">
                  <c:v>23</c:v>
                </c:pt>
                <c:pt idx="24">
                  <c:v>26</c:v>
                </c:pt>
                <c:pt idx="25">
                  <c:v>25</c:v>
                </c:pt>
                <c:pt idx="26">
                  <c:v>23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10</c:v>
                </c:pt>
                <c:pt idx="31">
                  <c:v>18</c:v>
                </c:pt>
                <c:pt idx="32">
                  <c:v>25</c:v>
                </c:pt>
                <c:pt idx="33">
                  <c:v>25</c:v>
                </c:pt>
                <c:pt idx="34">
                  <c:v>24</c:v>
                </c:pt>
                <c:pt idx="35">
                  <c:v>24</c:v>
                </c:pt>
                <c:pt idx="36">
                  <c:v>17</c:v>
                </c:pt>
                <c:pt idx="37">
                  <c:v>16</c:v>
                </c:pt>
                <c:pt idx="38">
                  <c:v>13</c:v>
                </c:pt>
                <c:pt idx="39">
                  <c:v>15</c:v>
                </c:pt>
                <c:pt idx="40">
                  <c:v>13</c:v>
                </c:pt>
                <c:pt idx="41">
                  <c:v>15</c:v>
                </c:pt>
                <c:pt idx="42">
                  <c:v>14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14</c:v>
                </c:pt>
                <c:pt idx="52">
                  <c:v>14</c:v>
                </c:pt>
                <c:pt idx="53">
                  <c:v>12</c:v>
                </c:pt>
                <c:pt idx="5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E-4A40-931D-E61FCBFB0E4F}"/>
            </c:ext>
          </c:extLst>
        </c:ser>
        <c:ser>
          <c:idx val="1"/>
          <c:order val="1"/>
          <c:tx>
            <c:strRef>
              <c:f>INFLUENZA!$E$2</c:f>
              <c:strCache>
                <c:ptCount val="1"/>
                <c:pt idx="0">
                  <c:v> #Positive cases Hospital Zimpeto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INFLUENZA!$C$3:$C$57</c:f>
              <c:strCache>
                <c:ptCount val="55"/>
                <c:pt idx="0">
                  <c:v>WK47</c:v>
                </c:pt>
                <c:pt idx="1">
                  <c:v>WK48</c:v>
                </c:pt>
                <c:pt idx="2">
                  <c:v>WK49</c:v>
                </c:pt>
                <c:pt idx="3">
                  <c:v>WK50</c:v>
                </c:pt>
                <c:pt idx="4">
                  <c:v>WK51</c:v>
                </c:pt>
                <c:pt idx="5">
                  <c:v>WK52</c:v>
                </c:pt>
                <c:pt idx="6">
                  <c:v>Wk1</c:v>
                </c:pt>
                <c:pt idx="7">
                  <c:v>WK2</c:v>
                </c:pt>
                <c:pt idx="8">
                  <c:v>WK3</c:v>
                </c:pt>
                <c:pt idx="9">
                  <c:v>WK4</c:v>
                </c:pt>
                <c:pt idx="10">
                  <c:v>WK5</c:v>
                </c:pt>
                <c:pt idx="11">
                  <c:v>WK6</c:v>
                </c:pt>
                <c:pt idx="12">
                  <c:v>WK7</c:v>
                </c:pt>
                <c:pt idx="13">
                  <c:v>WK8</c:v>
                </c:pt>
                <c:pt idx="14">
                  <c:v>WK9</c:v>
                </c:pt>
                <c:pt idx="15">
                  <c:v>WK10</c:v>
                </c:pt>
                <c:pt idx="16">
                  <c:v>WK11</c:v>
                </c:pt>
                <c:pt idx="17">
                  <c:v>WK12</c:v>
                </c:pt>
                <c:pt idx="18">
                  <c:v>WK13</c:v>
                </c:pt>
                <c:pt idx="19">
                  <c:v>WK14</c:v>
                </c:pt>
                <c:pt idx="20">
                  <c:v>WK15</c:v>
                </c:pt>
                <c:pt idx="21">
                  <c:v>WK16</c:v>
                </c:pt>
                <c:pt idx="22">
                  <c:v>WK17</c:v>
                </c:pt>
                <c:pt idx="23">
                  <c:v>WK18</c:v>
                </c:pt>
                <c:pt idx="24">
                  <c:v>WK19</c:v>
                </c:pt>
                <c:pt idx="25">
                  <c:v>WK20</c:v>
                </c:pt>
                <c:pt idx="26">
                  <c:v>WK21</c:v>
                </c:pt>
                <c:pt idx="27">
                  <c:v>WK22</c:v>
                </c:pt>
                <c:pt idx="28">
                  <c:v>WK23</c:v>
                </c:pt>
                <c:pt idx="29">
                  <c:v>WK24</c:v>
                </c:pt>
                <c:pt idx="30">
                  <c:v>WK25</c:v>
                </c:pt>
                <c:pt idx="31">
                  <c:v>WK26</c:v>
                </c:pt>
                <c:pt idx="32">
                  <c:v>WK27</c:v>
                </c:pt>
                <c:pt idx="33">
                  <c:v>WK28</c:v>
                </c:pt>
                <c:pt idx="34">
                  <c:v>WK29</c:v>
                </c:pt>
                <c:pt idx="35">
                  <c:v>WK30</c:v>
                </c:pt>
                <c:pt idx="36">
                  <c:v>WK31</c:v>
                </c:pt>
                <c:pt idx="37">
                  <c:v>WK32</c:v>
                </c:pt>
                <c:pt idx="38">
                  <c:v>WK33</c:v>
                </c:pt>
                <c:pt idx="39">
                  <c:v>WK34</c:v>
                </c:pt>
                <c:pt idx="40">
                  <c:v>WK35</c:v>
                </c:pt>
                <c:pt idx="41">
                  <c:v>WK36</c:v>
                </c:pt>
                <c:pt idx="42">
                  <c:v>WK37</c:v>
                </c:pt>
                <c:pt idx="43">
                  <c:v>WK38</c:v>
                </c:pt>
                <c:pt idx="44">
                  <c:v>WK39</c:v>
                </c:pt>
                <c:pt idx="45">
                  <c:v>WK40</c:v>
                </c:pt>
                <c:pt idx="46">
                  <c:v>WK41</c:v>
                </c:pt>
                <c:pt idx="47">
                  <c:v>WK42</c:v>
                </c:pt>
                <c:pt idx="48">
                  <c:v>WK43</c:v>
                </c:pt>
                <c:pt idx="49">
                  <c:v>WK44</c:v>
                </c:pt>
                <c:pt idx="50">
                  <c:v>WK45</c:v>
                </c:pt>
                <c:pt idx="51">
                  <c:v>WK46</c:v>
                </c:pt>
                <c:pt idx="52">
                  <c:v>WK47</c:v>
                </c:pt>
                <c:pt idx="53">
                  <c:v>WK48</c:v>
                </c:pt>
                <c:pt idx="54">
                  <c:v>WK49</c:v>
                </c:pt>
              </c:strCache>
            </c:strRef>
          </c:cat>
          <c:val>
            <c:numRef>
              <c:f>INFLUENZA!$E$3:$E$57</c:f>
              <c:numCache>
                <c:formatCode>General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0</c:v>
                </c:pt>
                <c:pt idx="21">
                  <c:v>4</c:v>
                </c:pt>
                <c:pt idx="22">
                  <c:v>0</c:v>
                </c:pt>
                <c:pt idx="23">
                  <c:v>6</c:v>
                </c:pt>
                <c:pt idx="24">
                  <c:v>7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6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4</c:v>
                </c:pt>
                <c:pt idx="36">
                  <c:v>1</c:v>
                </c:pt>
                <c:pt idx="37">
                  <c:v>3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4</c:v>
                </c:pt>
                <c:pt idx="48">
                  <c:v>5</c:v>
                </c:pt>
                <c:pt idx="49">
                  <c:v>8</c:v>
                </c:pt>
                <c:pt idx="50">
                  <c:v>6</c:v>
                </c:pt>
                <c:pt idx="51">
                  <c:v>11</c:v>
                </c:pt>
                <c:pt idx="52">
                  <c:v>10</c:v>
                </c:pt>
                <c:pt idx="53">
                  <c:v>10</c:v>
                </c:pt>
                <c:pt idx="5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9E-4A40-931D-E61FCBFB0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4969695"/>
        <c:axId val="1444970175"/>
      </c:barChart>
      <c:lineChart>
        <c:grouping val="standard"/>
        <c:varyColors val="0"/>
        <c:ser>
          <c:idx val="2"/>
          <c:order val="2"/>
          <c:tx>
            <c:strRef>
              <c:f>INFLUENZA!$F$2</c:f>
              <c:strCache>
                <c:ptCount val="1"/>
                <c:pt idx="0">
                  <c:v># Positivity Hospital Zimpeto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INFLUENZA!$C$3:$C$57</c:f>
              <c:strCache>
                <c:ptCount val="55"/>
                <c:pt idx="0">
                  <c:v>WK47</c:v>
                </c:pt>
                <c:pt idx="1">
                  <c:v>WK48</c:v>
                </c:pt>
                <c:pt idx="2">
                  <c:v>WK49</c:v>
                </c:pt>
                <c:pt idx="3">
                  <c:v>WK50</c:v>
                </c:pt>
                <c:pt idx="4">
                  <c:v>WK51</c:v>
                </c:pt>
                <c:pt idx="5">
                  <c:v>WK52</c:v>
                </c:pt>
                <c:pt idx="6">
                  <c:v>Wk1</c:v>
                </c:pt>
                <c:pt idx="7">
                  <c:v>WK2</c:v>
                </c:pt>
                <c:pt idx="8">
                  <c:v>WK3</c:v>
                </c:pt>
                <c:pt idx="9">
                  <c:v>WK4</c:v>
                </c:pt>
                <c:pt idx="10">
                  <c:v>WK5</c:v>
                </c:pt>
                <c:pt idx="11">
                  <c:v>WK6</c:v>
                </c:pt>
                <c:pt idx="12">
                  <c:v>WK7</c:v>
                </c:pt>
                <c:pt idx="13">
                  <c:v>WK8</c:v>
                </c:pt>
                <c:pt idx="14">
                  <c:v>WK9</c:v>
                </c:pt>
                <c:pt idx="15">
                  <c:v>WK10</c:v>
                </c:pt>
                <c:pt idx="16">
                  <c:v>WK11</c:v>
                </c:pt>
                <c:pt idx="17">
                  <c:v>WK12</c:v>
                </c:pt>
                <c:pt idx="18">
                  <c:v>WK13</c:v>
                </c:pt>
                <c:pt idx="19">
                  <c:v>WK14</c:v>
                </c:pt>
                <c:pt idx="20">
                  <c:v>WK15</c:v>
                </c:pt>
                <c:pt idx="21">
                  <c:v>WK16</c:v>
                </c:pt>
                <c:pt idx="22">
                  <c:v>WK17</c:v>
                </c:pt>
                <c:pt idx="23">
                  <c:v>WK18</c:v>
                </c:pt>
                <c:pt idx="24">
                  <c:v>WK19</c:v>
                </c:pt>
                <c:pt idx="25">
                  <c:v>WK20</c:v>
                </c:pt>
                <c:pt idx="26">
                  <c:v>WK21</c:v>
                </c:pt>
                <c:pt idx="27">
                  <c:v>WK22</c:v>
                </c:pt>
                <c:pt idx="28">
                  <c:v>WK23</c:v>
                </c:pt>
                <c:pt idx="29">
                  <c:v>WK24</c:v>
                </c:pt>
                <c:pt idx="30">
                  <c:v>WK25</c:v>
                </c:pt>
                <c:pt idx="31">
                  <c:v>WK26</c:v>
                </c:pt>
                <c:pt idx="32">
                  <c:v>WK27</c:v>
                </c:pt>
                <c:pt idx="33">
                  <c:v>WK28</c:v>
                </c:pt>
                <c:pt idx="34">
                  <c:v>WK29</c:v>
                </c:pt>
                <c:pt idx="35">
                  <c:v>WK30</c:v>
                </c:pt>
                <c:pt idx="36">
                  <c:v>WK31</c:v>
                </c:pt>
                <c:pt idx="37">
                  <c:v>WK32</c:v>
                </c:pt>
                <c:pt idx="38">
                  <c:v>WK33</c:v>
                </c:pt>
                <c:pt idx="39">
                  <c:v>WK34</c:v>
                </c:pt>
                <c:pt idx="40">
                  <c:v>WK35</c:v>
                </c:pt>
                <c:pt idx="41">
                  <c:v>WK36</c:v>
                </c:pt>
                <c:pt idx="42">
                  <c:v>WK37</c:v>
                </c:pt>
                <c:pt idx="43">
                  <c:v>WK38</c:v>
                </c:pt>
                <c:pt idx="44">
                  <c:v>WK39</c:v>
                </c:pt>
                <c:pt idx="45">
                  <c:v>WK40</c:v>
                </c:pt>
                <c:pt idx="46">
                  <c:v>WK41</c:v>
                </c:pt>
                <c:pt idx="47">
                  <c:v>WK42</c:v>
                </c:pt>
                <c:pt idx="48">
                  <c:v>WK43</c:v>
                </c:pt>
                <c:pt idx="49">
                  <c:v>WK44</c:v>
                </c:pt>
                <c:pt idx="50">
                  <c:v>WK45</c:v>
                </c:pt>
                <c:pt idx="51">
                  <c:v>WK46</c:v>
                </c:pt>
                <c:pt idx="52">
                  <c:v>WK47</c:v>
                </c:pt>
                <c:pt idx="53">
                  <c:v>WK48</c:v>
                </c:pt>
                <c:pt idx="54">
                  <c:v>WK49</c:v>
                </c:pt>
              </c:strCache>
            </c:strRef>
          </c:cat>
          <c:val>
            <c:numRef>
              <c:f>INFLUENZA!$F$3:$F$57</c:f>
              <c:numCache>
                <c:formatCode>0%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7.1428571428571425E-2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8.3333333333333329E-2</c:v>
                </c:pt>
                <c:pt idx="18">
                  <c:v>6.6666666666666666E-2</c:v>
                </c:pt>
                <c:pt idx="19">
                  <c:v>0.16666666666666666</c:v>
                </c:pt>
                <c:pt idx="20">
                  <c:v>0</c:v>
                </c:pt>
                <c:pt idx="21">
                  <c:v>0.2</c:v>
                </c:pt>
                <c:pt idx="22">
                  <c:v>0</c:v>
                </c:pt>
                <c:pt idx="23">
                  <c:v>0.2608695652173913</c:v>
                </c:pt>
                <c:pt idx="24">
                  <c:v>0.26923076923076922</c:v>
                </c:pt>
                <c:pt idx="25">
                  <c:v>0.12</c:v>
                </c:pt>
                <c:pt idx="26">
                  <c:v>8.6956521739130432E-2</c:v>
                </c:pt>
                <c:pt idx="27">
                  <c:v>0.04</c:v>
                </c:pt>
                <c:pt idx="28">
                  <c:v>0.24</c:v>
                </c:pt>
                <c:pt idx="29">
                  <c:v>0</c:v>
                </c:pt>
                <c:pt idx="30">
                  <c:v>0</c:v>
                </c:pt>
                <c:pt idx="31">
                  <c:v>0.1111111111111111</c:v>
                </c:pt>
                <c:pt idx="32">
                  <c:v>0.12</c:v>
                </c:pt>
                <c:pt idx="33">
                  <c:v>0.04</c:v>
                </c:pt>
                <c:pt idx="34">
                  <c:v>8.3333333333333329E-2</c:v>
                </c:pt>
                <c:pt idx="35">
                  <c:v>0.16666666666666666</c:v>
                </c:pt>
                <c:pt idx="36">
                  <c:v>5.8823529411764705E-2</c:v>
                </c:pt>
                <c:pt idx="37">
                  <c:v>0.1875</c:v>
                </c:pt>
                <c:pt idx="38">
                  <c:v>7.6923076923076927E-2</c:v>
                </c:pt>
                <c:pt idx="39">
                  <c:v>6.6666666666666666E-2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0.13333333333333333</c:v>
                </c:pt>
                <c:pt idx="44">
                  <c:v>6.6666666666666666E-2</c:v>
                </c:pt>
                <c:pt idx="45">
                  <c:v>0</c:v>
                </c:pt>
                <c:pt idx="46">
                  <c:v>0</c:v>
                </c:pt>
                <c:pt idx="47">
                  <c:v>0.26666666666666666</c:v>
                </c:pt>
                <c:pt idx="48">
                  <c:v>0.33333333333333331</c:v>
                </c:pt>
                <c:pt idx="49">
                  <c:v>0.53333333333333333</c:v>
                </c:pt>
                <c:pt idx="50">
                  <c:v>0.4</c:v>
                </c:pt>
                <c:pt idx="51">
                  <c:v>0.7857142857142857</c:v>
                </c:pt>
                <c:pt idx="52">
                  <c:v>0.7142857142857143</c:v>
                </c:pt>
                <c:pt idx="53">
                  <c:v>0.83333333333333337</c:v>
                </c:pt>
                <c:pt idx="54">
                  <c:v>0.20833333333333334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9E-4A40-931D-E61FCBFB0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972095"/>
        <c:axId val="1444970655"/>
      </c:lineChart>
      <c:catAx>
        <c:axId val="144496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970175"/>
        <c:crosses val="autoZero"/>
        <c:auto val="1"/>
        <c:lblAlgn val="ctr"/>
        <c:lblOffset val="100"/>
        <c:noMultiLvlLbl val="0"/>
      </c:catAx>
      <c:valAx>
        <c:axId val="144497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969695"/>
        <c:crosses val="autoZero"/>
        <c:crossBetween val="between"/>
      </c:valAx>
      <c:valAx>
        <c:axId val="144497065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972095"/>
        <c:crosses val="max"/>
        <c:crossBetween val="between"/>
      </c:valAx>
      <c:catAx>
        <c:axId val="1444972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497065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SARCOV2!$C$1</c:f>
              <c:strCache>
                <c:ptCount val="1"/>
                <c:pt idx="0">
                  <c:v># Samples Tested Hospital Zimpeto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SARCOV2!$B$2:$B$56</c:f>
              <c:strCache>
                <c:ptCount val="55"/>
                <c:pt idx="0">
                  <c:v>WK47</c:v>
                </c:pt>
                <c:pt idx="1">
                  <c:v>WK48</c:v>
                </c:pt>
                <c:pt idx="2">
                  <c:v>WK49</c:v>
                </c:pt>
                <c:pt idx="3">
                  <c:v>WK50</c:v>
                </c:pt>
                <c:pt idx="4">
                  <c:v>WK51</c:v>
                </c:pt>
                <c:pt idx="5">
                  <c:v>WK52</c:v>
                </c:pt>
                <c:pt idx="6">
                  <c:v>Wk1</c:v>
                </c:pt>
                <c:pt idx="7">
                  <c:v>WK2</c:v>
                </c:pt>
                <c:pt idx="8">
                  <c:v>WK3</c:v>
                </c:pt>
                <c:pt idx="9">
                  <c:v>WK4</c:v>
                </c:pt>
                <c:pt idx="10">
                  <c:v>WK5</c:v>
                </c:pt>
                <c:pt idx="11">
                  <c:v>WK6</c:v>
                </c:pt>
                <c:pt idx="12">
                  <c:v>WK7</c:v>
                </c:pt>
                <c:pt idx="13">
                  <c:v>WK8</c:v>
                </c:pt>
                <c:pt idx="14">
                  <c:v>WK9</c:v>
                </c:pt>
                <c:pt idx="15">
                  <c:v>WK10</c:v>
                </c:pt>
                <c:pt idx="16">
                  <c:v>WK11</c:v>
                </c:pt>
                <c:pt idx="17">
                  <c:v>WK12</c:v>
                </c:pt>
                <c:pt idx="18">
                  <c:v>WK13</c:v>
                </c:pt>
                <c:pt idx="19">
                  <c:v>WK14</c:v>
                </c:pt>
                <c:pt idx="20">
                  <c:v>WK15</c:v>
                </c:pt>
                <c:pt idx="21">
                  <c:v>WK16</c:v>
                </c:pt>
                <c:pt idx="22">
                  <c:v>WK17</c:v>
                </c:pt>
                <c:pt idx="23">
                  <c:v>WK18</c:v>
                </c:pt>
                <c:pt idx="24">
                  <c:v>WK19</c:v>
                </c:pt>
                <c:pt idx="25">
                  <c:v>WK20</c:v>
                </c:pt>
                <c:pt idx="26">
                  <c:v>WK21</c:v>
                </c:pt>
                <c:pt idx="27">
                  <c:v>WK22</c:v>
                </c:pt>
                <c:pt idx="28">
                  <c:v>WK23</c:v>
                </c:pt>
                <c:pt idx="29">
                  <c:v>WK24</c:v>
                </c:pt>
                <c:pt idx="30">
                  <c:v>WK25</c:v>
                </c:pt>
                <c:pt idx="31">
                  <c:v>WK26</c:v>
                </c:pt>
                <c:pt idx="32">
                  <c:v>WK27</c:v>
                </c:pt>
                <c:pt idx="33">
                  <c:v>WK28</c:v>
                </c:pt>
                <c:pt idx="34">
                  <c:v>WK29</c:v>
                </c:pt>
                <c:pt idx="35">
                  <c:v>WK30</c:v>
                </c:pt>
                <c:pt idx="36">
                  <c:v>WK31</c:v>
                </c:pt>
                <c:pt idx="37">
                  <c:v>WK32</c:v>
                </c:pt>
                <c:pt idx="38">
                  <c:v>WK33</c:v>
                </c:pt>
                <c:pt idx="39">
                  <c:v>WK34</c:v>
                </c:pt>
                <c:pt idx="40">
                  <c:v>WK35</c:v>
                </c:pt>
                <c:pt idx="41">
                  <c:v>WK36</c:v>
                </c:pt>
                <c:pt idx="42">
                  <c:v>WK37</c:v>
                </c:pt>
                <c:pt idx="43">
                  <c:v>WK38</c:v>
                </c:pt>
                <c:pt idx="44">
                  <c:v>WK39</c:v>
                </c:pt>
                <c:pt idx="45">
                  <c:v>WK40</c:v>
                </c:pt>
                <c:pt idx="46">
                  <c:v>WK41</c:v>
                </c:pt>
                <c:pt idx="47">
                  <c:v>WK42</c:v>
                </c:pt>
                <c:pt idx="48">
                  <c:v>WK43</c:v>
                </c:pt>
                <c:pt idx="49">
                  <c:v>WK44</c:v>
                </c:pt>
                <c:pt idx="50">
                  <c:v>WK45</c:v>
                </c:pt>
                <c:pt idx="51">
                  <c:v>WK46</c:v>
                </c:pt>
                <c:pt idx="52">
                  <c:v>WK47</c:v>
                </c:pt>
                <c:pt idx="53">
                  <c:v>WK48</c:v>
                </c:pt>
                <c:pt idx="54">
                  <c:v>WK49</c:v>
                </c:pt>
              </c:strCache>
            </c:strRef>
          </c:cat>
          <c:val>
            <c:numRef>
              <c:f>SARCOV2!$C$2:$C$56</c:f>
              <c:numCache>
                <c:formatCode>General</c:formatCode>
                <c:ptCount val="55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1</c:v>
                </c:pt>
                <c:pt idx="4">
                  <c:v>14</c:v>
                </c:pt>
                <c:pt idx="5">
                  <c:v>0</c:v>
                </c:pt>
                <c:pt idx="6">
                  <c:v>2</c:v>
                </c:pt>
                <c:pt idx="7">
                  <c:v>11</c:v>
                </c:pt>
                <c:pt idx="8">
                  <c:v>6</c:v>
                </c:pt>
                <c:pt idx="9">
                  <c:v>0</c:v>
                </c:pt>
                <c:pt idx="10">
                  <c:v>6</c:v>
                </c:pt>
                <c:pt idx="11">
                  <c:v>21</c:v>
                </c:pt>
                <c:pt idx="12">
                  <c:v>14</c:v>
                </c:pt>
                <c:pt idx="13">
                  <c:v>17</c:v>
                </c:pt>
                <c:pt idx="14">
                  <c:v>26</c:v>
                </c:pt>
                <c:pt idx="15">
                  <c:v>26</c:v>
                </c:pt>
                <c:pt idx="16">
                  <c:v>25</c:v>
                </c:pt>
                <c:pt idx="17">
                  <c:v>12</c:v>
                </c:pt>
                <c:pt idx="18">
                  <c:v>30</c:v>
                </c:pt>
                <c:pt idx="19">
                  <c:v>18</c:v>
                </c:pt>
                <c:pt idx="20">
                  <c:v>13</c:v>
                </c:pt>
                <c:pt idx="21">
                  <c:v>20</c:v>
                </c:pt>
                <c:pt idx="22">
                  <c:v>2</c:v>
                </c:pt>
                <c:pt idx="23">
                  <c:v>23</c:v>
                </c:pt>
                <c:pt idx="24">
                  <c:v>26</c:v>
                </c:pt>
                <c:pt idx="25">
                  <c:v>25</c:v>
                </c:pt>
                <c:pt idx="26">
                  <c:v>23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10</c:v>
                </c:pt>
                <c:pt idx="31">
                  <c:v>18</c:v>
                </c:pt>
                <c:pt idx="32">
                  <c:v>25</c:v>
                </c:pt>
                <c:pt idx="33">
                  <c:v>25</c:v>
                </c:pt>
                <c:pt idx="34">
                  <c:v>24</c:v>
                </c:pt>
                <c:pt idx="35">
                  <c:v>24</c:v>
                </c:pt>
                <c:pt idx="36">
                  <c:v>17</c:v>
                </c:pt>
                <c:pt idx="37">
                  <c:v>16</c:v>
                </c:pt>
                <c:pt idx="38">
                  <c:v>13</c:v>
                </c:pt>
                <c:pt idx="39">
                  <c:v>15</c:v>
                </c:pt>
                <c:pt idx="40">
                  <c:v>13</c:v>
                </c:pt>
                <c:pt idx="41">
                  <c:v>15</c:v>
                </c:pt>
                <c:pt idx="42">
                  <c:v>14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14</c:v>
                </c:pt>
                <c:pt idx="52">
                  <c:v>14</c:v>
                </c:pt>
                <c:pt idx="53">
                  <c:v>12</c:v>
                </c:pt>
                <c:pt idx="5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1-41C3-8F70-D692D93984C7}"/>
            </c:ext>
          </c:extLst>
        </c:ser>
        <c:ser>
          <c:idx val="1"/>
          <c:order val="1"/>
          <c:tx>
            <c:strRef>
              <c:f>SARCOV2!$D$1</c:f>
              <c:strCache>
                <c:ptCount val="1"/>
                <c:pt idx="0">
                  <c:v># Positive cases Hospital Zimpeto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SARCOV2!$B$2:$B$56</c:f>
              <c:strCache>
                <c:ptCount val="55"/>
                <c:pt idx="0">
                  <c:v>WK47</c:v>
                </c:pt>
                <c:pt idx="1">
                  <c:v>WK48</c:v>
                </c:pt>
                <c:pt idx="2">
                  <c:v>WK49</c:v>
                </c:pt>
                <c:pt idx="3">
                  <c:v>WK50</c:v>
                </c:pt>
                <c:pt idx="4">
                  <c:v>WK51</c:v>
                </c:pt>
                <c:pt idx="5">
                  <c:v>WK52</c:v>
                </c:pt>
                <c:pt idx="6">
                  <c:v>Wk1</c:v>
                </c:pt>
                <c:pt idx="7">
                  <c:v>WK2</c:v>
                </c:pt>
                <c:pt idx="8">
                  <c:v>WK3</c:v>
                </c:pt>
                <c:pt idx="9">
                  <c:v>WK4</c:v>
                </c:pt>
                <c:pt idx="10">
                  <c:v>WK5</c:v>
                </c:pt>
                <c:pt idx="11">
                  <c:v>WK6</c:v>
                </c:pt>
                <c:pt idx="12">
                  <c:v>WK7</c:v>
                </c:pt>
                <c:pt idx="13">
                  <c:v>WK8</c:v>
                </c:pt>
                <c:pt idx="14">
                  <c:v>WK9</c:v>
                </c:pt>
                <c:pt idx="15">
                  <c:v>WK10</c:v>
                </c:pt>
                <c:pt idx="16">
                  <c:v>WK11</c:v>
                </c:pt>
                <c:pt idx="17">
                  <c:v>WK12</c:v>
                </c:pt>
                <c:pt idx="18">
                  <c:v>WK13</c:v>
                </c:pt>
                <c:pt idx="19">
                  <c:v>WK14</c:v>
                </c:pt>
                <c:pt idx="20">
                  <c:v>WK15</c:v>
                </c:pt>
                <c:pt idx="21">
                  <c:v>WK16</c:v>
                </c:pt>
                <c:pt idx="22">
                  <c:v>WK17</c:v>
                </c:pt>
                <c:pt idx="23">
                  <c:v>WK18</c:v>
                </c:pt>
                <c:pt idx="24">
                  <c:v>WK19</c:v>
                </c:pt>
                <c:pt idx="25">
                  <c:v>WK20</c:v>
                </c:pt>
                <c:pt idx="26">
                  <c:v>WK21</c:v>
                </c:pt>
                <c:pt idx="27">
                  <c:v>WK22</c:v>
                </c:pt>
                <c:pt idx="28">
                  <c:v>WK23</c:v>
                </c:pt>
                <c:pt idx="29">
                  <c:v>WK24</c:v>
                </c:pt>
                <c:pt idx="30">
                  <c:v>WK25</c:v>
                </c:pt>
                <c:pt idx="31">
                  <c:v>WK26</c:v>
                </c:pt>
                <c:pt idx="32">
                  <c:v>WK27</c:v>
                </c:pt>
                <c:pt idx="33">
                  <c:v>WK28</c:v>
                </c:pt>
                <c:pt idx="34">
                  <c:v>WK29</c:v>
                </c:pt>
                <c:pt idx="35">
                  <c:v>WK30</c:v>
                </c:pt>
                <c:pt idx="36">
                  <c:v>WK31</c:v>
                </c:pt>
                <c:pt idx="37">
                  <c:v>WK32</c:v>
                </c:pt>
                <c:pt idx="38">
                  <c:v>WK33</c:v>
                </c:pt>
                <c:pt idx="39">
                  <c:v>WK34</c:v>
                </c:pt>
                <c:pt idx="40">
                  <c:v>WK35</c:v>
                </c:pt>
                <c:pt idx="41">
                  <c:v>WK36</c:v>
                </c:pt>
                <c:pt idx="42">
                  <c:v>WK37</c:v>
                </c:pt>
                <c:pt idx="43">
                  <c:v>WK38</c:v>
                </c:pt>
                <c:pt idx="44">
                  <c:v>WK39</c:v>
                </c:pt>
                <c:pt idx="45">
                  <c:v>WK40</c:v>
                </c:pt>
                <c:pt idx="46">
                  <c:v>WK41</c:v>
                </c:pt>
                <c:pt idx="47">
                  <c:v>WK42</c:v>
                </c:pt>
                <c:pt idx="48">
                  <c:v>WK43</c:v>
                </c:pt>
                <c:pt idx="49">
                  <c:v>WK44</c:v>
                </c:pt>
                <c:pt idx="50">
                  <c:v>WK45</c:v>
                </c:pt>
                <c:pt idx="51">
                  <c:v>WK46</c:v>
                </c:pt>
                <c:pt idx="52">
                  <c:v>WK47</c:v>
                </c:pt>
                <c:pt idx="53">
                  <c:v>WK48</c:v>
                </c:pt>
                <c:pt idx="54">
                  <c:v>WK49</c:v>
                </c:pt>
              </c:strCache>
            </c:strRef>
          </c:cat>
          <c:val>
            <c:numRef>
              <c:f>SARCOV2!$D$2:$D$56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2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B1-41C3-8F70-D692D93984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48476415"/>
        <c:axId val="1248476895"/>
      </c:barChart>
      <c:lineChart>
        <c:grouping val="standard"/>
        <c:varyColors val="0"/>
        <c:ser>
          <c:idx val="2"/>
          <c:order val="2"/>
          <c:tx>
            <c:strRef>
              <c:f>SARCOV2!$E$1</c:f>
              <c:strCache>
                <c:ptCount val="1"/>
                <c:pt idx="0">
                  <c:v>Positivity Hospital Zimpeto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SARCOV2!$B$2:$B$56</c:f>
              <c:strCache>
                <c:ptCount val="55"/>
                <c:pt idx="0">
                  <c:v>WK47</c:v>
                </c:pt>
                <c:pt idx="1">
                  <c:v>WK48</c:v>
                </c:pt>
                <c:pt idx="2">
                  <c:v>WK49</c:v>
                </c:pt>
                <c:pt idx="3">
                  <c:v>WK50</c:v>
                </c:pt>
                <c:pt idx="4">
                  <c:v>WK51</c:v>
                </c:pt>
                <c:pt idx="5">
                  <c:v>WK52</c:v>
                </c:pt>
                <c:pt idx="6">
                  <c:v>Wk1</c:v>
                </c:pt>
                <c:pt idx="7">
                  <c:v>WK2</c:v>
                </c:pt>
                <c:pt idx="8">
                  <c:v>WK3</c:v>
                </c:pt>
                <c:pt idx="9">
                  <c:v>WK4</c:v>
                </c:pt>
                <c:pt idx="10">
                  <c:v>WK5</c:v>
                </c:pt>
                <c:pt idx="11">
                  <c:v>WK6</c:v>
                </c:pt>
                <c:pt idx="12">
                  <c:v>WK7</c:v>
                </c:pt>
                <c:pt idx="13">
                  <c:v>WK8</c:v>
                </c:pt>
                <c:pt idx="14">
                  <c:v>WK9</c:v>
                </c:pt>
                <c:pt idx="15">
                  <c:v>WK10</c:v>
                </c:pt>
                <c:pt idx="16">
                  <c:v>WK11</c:v>
                </c:pt>
                <c:pt idx="17">
                  <c:v>WK12</c:v>
                </c:pt>
                <c:pt idx="18">
                  <c:v>WK13</c:v>
                </c:pt>
                <c:pt idx="19">
                  <c:v>WK14</c:v>
                </c:pt>
                <c:pt idx="20">
                  <c:v>WK15</c:v>
                </c:pt>
                <c:pt idx="21">
                  <c:v>WK16</c:v>
                </c:pt>
                <c:pt idx="22">
                  <c:v>WK17</c:v>
                </c:pt>
                <c:pt idx="23">
                  <c:v>WK18</c:v>
                </c:pt>
                <c:pt idx="24">
                  <c:v>WK19</c:v>
                </c:pt>
                <c:pt idx="25">
                  <c:v>WK20</c:v>
                </c:pt>
                <c:pt idx="26">
                  <c:v>WK21</c:v>
                </c:pt>
                <c:pt idx="27">
                  <c:v>WK22</c:v>
                </c:pt>
                <c:pt idx="28">
                  <c:v>WK23</c:v>
                </c:pt>
                <c:pt idx="29">
                  <c:v>WK24</c:v>
                </c:pt>
                <c:pt idx="30">
                  <c:v>WK25</c:v>
                </c:pt>
                <c:pt idx="31">
                  <c:v>WK26</c:v>
                </c:pt>
                <c:pt idx="32">
                  <c:v>WK27</c:v>
                </c:pt>
                <c:pt idx="33">
                  <c:v>WK28</c:v>
                </c:pt>
                <c:pt idx="34">
                  <c:v>WK29</c:v>
                </c:pt>
                <c:pt idx="35">
                  <c:v>WK30</c:v>
                </c:pt>
                <c:pt idx="36">
                  <c:v>WK31</c:v>
                </c:pt>
                <c:pt idx="37">
                  <c:v>WK32</c:v>
                </c:pt>
                <c:pt idx="38">
                  <c:v>WK33</c:v>
                </c:pt>
                <c:pt idx="39">
                  <c:v>WK34</c:v>
                </c:pt>
                <c:pt idx="40">
                  <c:v>WK35</c:v>
                </c:pt>
                <c:pt idx="41">
                  <c:v>WK36</c:v>
                </c:pt>
                <c:pt idx="42">
                  <c:v>WK37</c:v>
                </c:pt>
                <c:pt idx="43">
                  <c:v>WK38</c:v>
                </c:pt>
                <c:pt idx="44">
                  <c:v>WK39</c:v>
                </c:pt>
                <c:pt idx="45">
                  <c:v>WK40</c:v>
                </c:pt>
                <c:pt idx="46">
                  <c:v>WK41</c:v>
                </c:pt>
                <c:pt idx="47">
                  <c:v>WK42</c:v>
                </c:pt>
                <c:pt idx="48">
                  <c:v>WK43</c:v>
                </c:pt>
                <c:pt idx="49">
                  <c:v>WK44</c:v>
                </c:pt>
                <c:pt idx="50">
                  <c:v>WK45</c:v>
                </c:pt>
                <c:pt idx="51">
                  <c:v>WK46</c:v>
                </c:pt>
                <c:pt idx="52">
                  <c:v>WK47</c:v>
                </c:pt>
                <c:pt idx="53">
                  <c:v>WK48</c:v>
                </c:pt>
                <c:pt idx="54">
                  <c:v>WK49</c:v>
                </c:pt>
              </c:strCache>
            </c:strRef>
          </c:cat>
          <c:val>
            <c:numRef>
              <c:f>SARCOV2!$E$2:$E$56</c:f>
              <c:numCache>
                <c:formatCode>0%</c:formatCode>
                <c:ptCount val="55"/>
                <c:pt idx="0">
                  <c:v>8.3333333333333329E-2</c:v>
                </c:pt>
                <c:pt idx="1">
                  <c:v>0.18181818181818182</c:v>
                </c:pt>
                <c:pt idx="2">
                  <c:v>0.6</c:v>
                </c:pt>
                <c:pt idx="3">
                  <c:v>0</c:v>
                </c:pt>
                <c:pt idx="4">
                  <c:v>0.42857142857142855</c:v>
                </c:pt>
                <c:pt idx="5">
                  <c:v>0</c:v>
                </c:pt>
                <c:pt idx="6">
                  <c:v>0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4.7619047619047616E-2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3.8461538461538464E-2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4.3478260869565216E-2</c:v>
                </c:pt>
                <c:pt idx="24">
                  <c:v>3.8461538461538464E-2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6.6666666666666666E-2</c:v>
                </c:pt>
                <c:pt idx="44">
                  <c:v>0</c:v>
                </c:pt>
                <c:pt idx="45">
                  <c:v>0</c:v>
                </c:pt>
                <c:pt idx="46">
                  <c:v>6.6666666666666666E-2</c:v>
                </c:pt>
                <c:pt idx="47">
                  <c:v>0</c:v>
                </c:pt>
                <c:pt idx="48">
                  <c:v>0.13333333333333333</c:v>
                </c:pt>
                <c:pt idx="49">
                  <c:v>6.6666666666666666E-2</c:v>
                </c:pt>
                <c:pt idx="50">
                  <c:v>0.13333333333333333</c:v>
                </c:pt>
                <c:pt idx="51">
                  <c:v>7.1428571428571425E-2</c:v>
                </c:pt>
                <c:pt idx="52">
                  <c:v>0</c:v>
                </c:pt>
                <c:pt idx="53">
                  <c:v>8.3333333333333329E-2</c:v>
                </c:pt>
                <c:pt idx="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B1-41C3-8F70-D692D93984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5370783"/>
        <c:axId val="1515371263"/>
      </c:lineChart>
      <c:catAx>
        <c:axId val="124847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476895"/>
        <c:crosses val="autoZero"/>
        <c:auto val="1"/>
        <c:lblAlgn val="ctr"/>
        <c:lblOffset val="100"/>
        <c:noMultiLvlLbl val="0"/>
      </c:catAx>
      <c:valAx>
        <c:axId val="124847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476415"/>
        <c:crosses val="autoZero"/>
        <c:crossBetween val="between"/>
      </c:valAx>
      <c:valAx>
        <c:axId val="151537126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370783"/>
        <c:crosses val="max"/>
        <c:crossBetween val="between"/>
      </c:valAx>
      <c:catAx>
        <c:axId val="15153707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1537126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634999</xdr:colOff>
      <xdr:row>18</xdr:row>
      <xdr:rowOff>36286</xdr:rowOff>
    </xdr:from>
    <xdr:to>
      <xdr:col>39</xdr:col>
      <xdr:colOff>54428</xdr:colOff>
      <xdr:row>45</xdr:row>
      <xdr:rowOff>97972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091552-1F63-74B8-4CB3-7DB77D810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106679</xdr:colOff>
      <xdr:row>70</xdr:row>
      <xdr:rowOff>914399</xdr:rowOff>
    </xdr:from>
    <xdr:to>
      <xdr:col>31</xdr:col>
      <xdr:colOff>653142</xdr:colOff>
      <xdr:row>99</xdr:row>
      <xdr:rowOff>54427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AEC308-B0D1-484F-AE4E-284726AEF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469900</xdr:colOff>
      <xdr:row>2</xdr:row>
      <xdr:rowOff>50800</xdr:rowOff>
    </xdr:from>
    <xdr:to>
      <xdr:col>67</xdr:col>
      <xdr:colOff>12700</xdr:colOff>
      <xdr:row>24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8D0E6D-8E17-6049-890C-0C396A49A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548639</xdr:colOff>
      <xdr:row>72</xdr:row>
      <xdr:rowOff>181428</xdr:rowOff>
    </xdr:from>
    <xdr:to>
      <xdr:col>49</xdr:col>
      <xdr:colOff>90714</xdr:colOff>
      <xdr:row>103</xdr:row>
      <xdr:rowOff>172357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1AB14B-EA61-0E49-A283-FDC03001A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49</xdr:col>
      <xdr:colOff>502919</xdr:colOff>
      <xdr:row>77</xdr:row>
      <xdr:rowOff>72570</xdr:rowOff>
    </xdr:from>
    <xdr:to>
      <xdr:col>70</xdr:col>
      <xdr:colOff>544284</xdr:colOff>
      <xdr:row>107</xdr:row>
      <xdr:rowOff>127000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EFEAF64-A8B8-2E47-80CA-E194BAA4B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442687</xdr:colOff>
      <xdr:row>0</xdr:row>
      <xdr:rowOff>0</xdr:rowOff>
    </xdr:from>
    <xdr:to>
      <xdr:col>39</xdr:col>
      <xdr:colOff>0</xdr:colOff>
      <xdr:row>17</xdr:row>
      <xdr:rowOff>190500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68E9C19-BDD3-714E-8CDC-2DFDB159B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158750</xdr:colOff>
      <xdr:row>144</xdr:row>
      <xdr:rowOff>181429</xdr:rowOff>
    </xdr:from>
    <xdr:to>
      <xdr:col>24</xdr:col>
      <xdr:colOff>480786</xdr:colOff>
      <xdr:row>164</xdr:row>
      <xdr:rowOff>86783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7EAF73-0165-A146-B43E-96A809A94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3</xdr:row>
      <xdr:rowOff>66675</xdr:rowOff>
    </xdr:from>
    <xdr:to>
      <xdr:col>23</xdr:col>
      <xdr:colOff>381000</xdr:colOff>
      <xdr:row>16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BDA3A-3972-3140-629D-7129EB0D6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1162050</xdr:colOff>
      <xdr:row>31</xdr:row>
      <xdr:rowOff>120650</xdr:rowOff>
    </xdr:from>
    <xdr:to>
      <xdr:col>19</xdr:col>
      <xdr:colOff>254000</xdr:colOff>
      <xdr:row>50</xdr:row>
      <xdr:rowOff>60325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8547E2-65B1-ADEF-8B40-1C9693385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gdti\Downloads\Tabelas%20para%20CS%20MAVALANE%20-%20HG%20de%20Mavalane.xlsx" TargetMode="External"/><Relationship Id="rId1" Type="http://schemas.openxmlformats.org/officeDocument/2006/relationships/externalLinkPath" Target="/Users/rgdti/Downloads/Tabelas%20para%20CS%20MAVALANE%20-%20HG%20de%20Mavala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RS &amp; Flu HF&amp;Comm &amp;Typhi"/>
    </sheetNames>
    <sheetDataSet>
      <sheetData sheetId="0">
        <row r="78">
          <cell r="D78" t="str">
            <v># Cases of Resp. Syndrome Reported CS Mavalane</v>
          </cell>
          <cell r="E78" t="str">
            <v># Samples Tested CS Mavalane</v>
          </cell>
          <cell r="F78" t="str">
            <v># Positive cases CS Mavalane</v>
          </cell>
          <cell r="G78" t="str">
            <v>Positivity CS Mavalane</v>
          </cell>
        </row>
        <row r="79">
          <cell r="B79">
            <v>2024</v>
          </cell>
          <cell r="C79" t="str">
            <v>WK47</v>
          </cell>
        </row>
        <row r="80">
          <cell r="C80" t="str">
            <v>WK48</v>
          </cell>
        </row>
        <row r="81">
          <cell r="C81" t="str">
            <v>WK49</v>
          </cell>
        </row>
        <row r="82">
          <cell r="C82" t="str">
            <v>WK50</v>
          </cell>
        </row>
        <row r="83">
          <cell r="C83" t="str">
            <v>WK51</v>
          </cell>
        </row>
        <row r="84">
          <cell r="C84" t="str">
            <v>WK52</v>
          </cell>
        </row>
        <row r="85">
          <cell r="B85">
            <v>2025</v>
          </cell>
          <cell r="C85" t="str">
            <v>Wk1</v>
          </cell>
        </row>
        <row r="86">
          <cell r="C86" t="str">
            <v>WK2</v>
          </cell>
        </row>
        <row r="87">
          <cell r="C87" t="str">
            <v>WK3</v>
          </cell>
        </row>
        <row r="88">
          <cell r="C88" t="str">
            <v>WK4</v>
          </cell>
        </row>
        <row r="89">
          <cell r="C89" t="str">
            <v>WK5</v>
          </cell>
        </row>
        <row r="90">
          <cell r="C90" t="str">
            <v>WK6</v>
          </cell>
        </row>
        <row r="91">
          <cell r="C91" t="str">
            <v>WK7</v>
          </cell>
        </row>
        <row r="92">
          <cell r="C92" t="str">
            <v>WK8</v>
          </cell>
        </row>
        <row r="93">
          <cell r="C93" t="str">
            <v>WK9</v>
          </cell>
        </row>
        <row r="94">
          <cell r="C94" t="str">
            <v>WK10</v>
          </cell>
        </row>
        <row r="95">
          <cell r="C95" t="str">
            <v>WK11</v>
          </cell>
        </row>
        <row r="96">
          <cell r="C96" t="str">
            <v>WK12</v>
          </cell>
        </row>
        <row r="97">
          <cell r="C97" t="str">
            <v>WK13</v>
          </cell>
        </row>
        <row r="98">
          <cell r="C98" t="str">
            <v>WK14</v>
          </cell>
        </row>
        <row r="99">
          <cell r="C99" t="str">
            <v>WK15</v>
          </cell>
        </row>
        <row r="100">
          <cell r="C100" t="str">
            <v>WK16</v>
          </cell>
        </row>
        <row r="101">
          <cell r="C101" t="str">
            <v>WK17</v>
          </cell>
        </row>
        <row r="102">
          <cell r="C102" t="str">
            <v>WK18</v>
          </cell>
        </row>
        <row r="103">
          <cell r="C103" t="str">
            <v>WK19</v>
          </cell>
        </row>
        <row r="104">
          <cell r="C104" t="str">
            <v>WK20</v>
          </cell>
        </row>
        <row r="105">
          <cell r="C105" t="str">
            <v>WK21</v>
          </cell>
        </row>
        <row r="106">
          <cell r="C106" t="str">
            <v>WK22</v>
          </cell>
        </row>
        <row r="107">
          <cell r="C107" t="str">
            <v>WK23</v>
          </cell>
        </row>
        <row r="108">
          <cell r="C108" t="str">
            <v>WK24</v>
          </cell>
        </row>
        <row r="109">
          <cell r="C109" t="str">
            <v>WK25</v>
          </cell>
        </row>
        <row r="110">
          <cell r="C110" t="str">
            <v>WK26</v>
          </cell>
          <cell r="D110">
            <v>115</v>
          </cell>
          <cell r="E110">
            <v>24</v>
          </cell>
          <cell r="F110">
            <v>0</v>
          </cell>
          <cell r="G110">
            <v>0</v>
          </cell>
        </row>
        <row r="111">
          <cell r="C111" t="str">
            <v>WK27</v>
          </cell>
          <cell r="D111">
            <v>259</v>
          </cell>
          <cell r="E111">
            <v>25</v>
          </cell>
          <cell r="F111">
            <v>1</v>
          </cell>
          <cell r="G111">
            <v>0.04</v>
          </cell>
        </row>
        <row r="112">
          <cell r="C112" t="str">
            <v>WK28</v>
          </cell>
          <cell r="D112">
            <v>291</v>
          </cell>
          <cell r="E112">
            <v>25</v>
          </cell>
          <cell r="F112">
            <v>2</v>
          </cell>
          <cell r="G112">
            <v>0.08</v>
          </cell>
        </row>
        <row r="113">
          <cell r="C113" t="str">
            <v>WK29</v>
          </cell>
          <cell r="D113">
            <v>205</v>
          </cell>
          <cell r="E113">
            <v>25</v>
          </cell>
          <cell r="F113">
            <v>1</v>
          </cell>
          <cell r="G113">
            <v>0.04</v>
          </cell>
        </row>
        <row r="114">
          <cell r="C114" t="str">
            <v>WK30</v>
          </cell>
          <cell r="D114">
            <v>201</v>
          </cell>
          <cell r="E114">
            <v>5</v>
          </cell>
          <cell r="F114">
            <v>0</v>
          </cell>
          <cell r="G114">
            <v>0</v>
          </cell>
        </row>
        <row r="115">
          <cell r="C115" t="str">
            <v>WK31</v>
          </cell>
          <cell r="D115">
            <v>152</v>
          </cell>
          <cell r="E115">
            <v>21</v>
          </cell>
          <cell r="F115">
            <v>0</v>
          </cell>
          <cell r="G115">
            <v>0</v>
          </cell>
        </row>
        <row r="116">
          <cell r="C116" t="str">
            <v>WK32</v>
          </cell>
          <cell r="D116">
            <v>168</v>
          </cell>
          <cell r="E116">
            <v>16</v>
          </cell>
          <cell r="F116">
            <v>1</v>
          </cell>
          <cell r="G116">
            <v>6.25E-2</v>
          </cell>
        </row>
        <row r="117">
          <cell r="C117" t="str">
            <v>WK33</v>
          </cell>
          <cell r="D117">
            <v>185</v>
          </cell>
          <cell r="E117">
            <v>20</v>
          </cell>
          <cell r="F117">
            <v>0</v>
          </cell>
          <cell r="G117">
            <v>0</v>
          </cell>
        </row>
        <row r="118">
          <cell r="C118" t="str">
            <v>WK34</v>
          </cell>
          <cell r="D118">
            <v>204</v>
          </cell>
          <cell r="E118">
            <v>13</v>
          </cell>
          <cell r="F118">
            <v>0</v>
          </cell>
          <cell r="G118">
            <v>0</v>
          </cell>
        </row>
        <row r="119">
          <cell r="C119" t="str">
            <v>WK35</v>
          </cell>
          <cell r="D119">
            <v>176</v>
          </cell>
          <cell r="E119">
            <v>15</v>
          </cell>
          <cell r="F119">
            <v>0</v>
          </cell>
          <cell r="G119">
            <v>0</v>
          </cell>
        </row>
        <row r="120">
          <cell r="C120" t="str">
            <v>WK36</v>
          </cell>
          <cell r="D120">
            <v>189</v>
          </cell>
          <cell r="E120">
            <v>15</v>
          </cell>
          <cell r="F120">
            <v>0</v>
          </cell>
          <cell r="G120">
            <v>0</v>
          </cell>
        </row>
        <row r="121">
          <cell r="C121" t="str">
            <v>WK37</v>
          </cell>
          <cell r="D121">
            <v>136</v>
          </cell>
          <cell r="E121">
            <v>16</v>
          </cell>
          <cell r="F121">
            <v>0</v>
          </cell>
          <cell r="G121">
            <v>0</v>
          </cell>
        </row>
        <row r="122">
          <cell r="C122" t="str">
            <v>WK38</v>
          </cell>
          <cell r="D122">
            <v>230</v>
          </cell>
          <cell r="E122">
            <v>15</v>
          </cell>
          <cell r="F122">
            <v>0</v>
          </cell>
          <cell r="G122">
            <v>0</v>
          </cell>
        </row>
        <row r="123">
          <cell r="C123" t="str">
            <v>WK39</v>
          </cell>
          <cell r="D123">
            <v>196</v>
          </cell>
          <cell r="E123">
            <v>15</v>
          </cell>
          <cell r="F123">
            <v>1</v>
          </cell>
          <cell r="G123">
            <v>6.6666666666666666E-2</v>
          </cell>
        </row>
        <row r="124">
          <cell r="C124" t="str">
            <v>WK40</v>
          </cell>
          <cell r="D124">
            <v>214</v>
          </cell>
          <cell r="E124">
            <v>12</v>
          </cell>
          <cell r="F124">
            <v>0</v>
          </cell>
          <cell r="G124">
            <v>0</v>
          </cell>
        </row>
        <row r="125">
          <cell r="C125" t="str">
            <v>WK41</v>
          </cell>
          <cell r="D125">
            <v>293</v>
          </cell>
          <cell r="E125">
            <v>15</v>
          </cell>
          <cell r="F125">
            <v>0</v>
          </cell>
          <cell r="G125">
            <v>0</v>
          </cell>
        </row>
        <row r="126">
          <cell r="C126" t="str">
            <v>WK42</v>
          </cell>
          <cell r="D126">
            <v>284</v>
          </cell>
          <cell r="E126">
            <v>15</v>
          </cell>
          <cell r="F126">
            <v>2</v>
          </cell>
          <cell r="G126">
            <v>0.13333333333333333</v>
          </cell>
        </row>
        <row r="127">
          <cell r="C127" t="str">
            <v>WK43</v>
          </cell>
          <cell r="D127">
            <v>354</v>
          </cell>
          <cell r="E127">
            <v>15</v>
          </cell>
          <cell r="F127">
            <v>4</v>
          </cell>
          <cell r="G127">
            <v>0.26666666666666666</v>
          </cell>
        </row>
        <row r="128">
          <cell r="C128" t="str">
            <v>WK44</v>
          </cell>
          <cell r="D128">
            <v>293</v>
          </cell>
          <cell r="E128">
            <v>15</v>
          </cell>
          <cell r="F128">
            <v>5</v>
          </cell>
          <cell r="G128">
            <v>0.33333333333333331</v>
          </cell>
        </row>
        <row r="129">
          <cell r="C129" t="str">
            <v>WK45</v>
          </cell>
          <cell r="D129">
            <v>373</v>
          </cell>
          <cell r="E129">
            <v>15</v>
          </cell>
          <cell r="F129">
            <v>3</v>
          </cell>
          <cell r="G129">
            <v>0.2</v>
          </cell>
        </row>
        <row r="130">
          <cell r="C130" t="str">
            <v>WK46</v>
          </cell>
          <cell r="D130">
            <v>354</v>
          </cell>
          <cell r="E130">
            <v>15</v>
          </cell>
          <cell r="F130">
            <v>5</v>
          </cell>
          <cell r="G130">
            <v>0.33333333333333331</v>
          </cell>
        </row>
        <row r="131">
          <cell r="C131" t="str">
            <v>WK47</v>
          </cell>
          <cell r="D131">
            <v>318</v>
          </cell>
          <cell r="E131">
            <v>15</v>
          </cell>
          <cell r="F131">
            <v>7</v>
          </cell>
          <cell r="G131">
            <v>0.46666666666666667</v>
          </cell>
        </row>
        <row r="132">
          <cell r="C132" t="str">
            <v>WK48</v>
          </cell>
          <cell r="D132">
            <v>48</v>
          </cell>
          <cell r="E132">
            <v>15</v>
          </cell>
          <cell r="F132">
            <v>8</v>
          </cell>
          <cell r="G132">
            <v>0.53333333333333333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P219"/>
  <sheetViews>
    <sheetView topLeftCell="K5" zoomScale="70" zoomScaleNormal="70" workbookViewId="0">
      <selection activeCell="I6" sqref="I6:K61"/>
    </sheetView>
  </sheetViews>
  <sheetFormatPr defaultRowHeight="16" x14ac:dyDescent="0.4"/>
  <cols>
    <col min="3" max="3" width="18.25" customWidth="1"/>
    <col min="4" max="7" width="8.83203125"/>
    <col min="8" max="8" width="10.83203125" customWidth="1"/>
    <col min="9" max="10" width="8.83203125"/>
    <col min="11" max="11" width="10.4140625" bestFit="1" customWidth="1"/>
    <col min="12" max="14" width="8.83203125"/>
    <col min="15" max="15" width="11.1640625" style="8" customWidth="1"/>
    <col min="16" max="16" width="10.75" style="8" customWidth="1"/>
  </cols>
  <sheetData>
    <row r="5" spans="2:16" s="9" customFormat="1" x14ac:dyDescent="0.4">
      <c r="B5" s="56" t="s">
        <v>8</v>
      </c>
      <c r="C5" s="57"/>
      <c r="D5" s="58"/>
      <c r="E5" s="54" t="s">
        <v>42</v>
      </c>
      <c r="F5" s="54"/>
      <c r="G5" s="54"/>
      <c r="H5" s="54" t="s">
        <v>43</v>
      </c>
      <c r="I5" s="54"/>
      <c r="J5" s="54"/>
      <c r="K5" s="54"/>
      <c r="L5" s="50" t="s">
        <v>44</v>
      </c>
      <c r="M5" s="51"/>
      <c r="N5" s="51"/>
      <c r="O5" s="51"/>
      <c r="P5" s="52"/>
    </row>
    <row r="6" spans="2:16" s="9" customFormat="1" ht="144" x14ac:dyDescent="0.4">
      <c r="B6" s="21" t="s">
        <v>91</v>
      </c>
      <c r="C6" s="13" t="s">
        <v>90</v>
      </c>
      <c r="D6" s="21" t="s">
        <v>92</v>
      </c>
      <c r="E6" s="27" t="s">
        <v>46</v>
      </c>
      <c r="F6" s="27" t="s">
        <v>47</v>
      </c>
      <c r="G6" s="27" t="s">
        <v>48</v>
      </c>
      <c r="H6" s="28" t="s">
        <v>49</v>
      </c>
      <c r="I6" s="28" t="s">
        <v>50</v>
      </c>
      <c r="J6" s="28" t="s">
        <v>51</v>
      </c>
      <c r="K6" s="28" t="s">
        <v>52</v>
      </c>
      <c r="L6" s="29" t="s">
        <v>53</v>
      </c>
      <c r="M6" s="29" t="s">
        <v>24</v>
      </c>
      <c r="N6" s="29" t="s">
        <v>23</v>
      </c>
      <c r="O6" s="30" t="s">
        <v>48</v>
      </c>
      <c r="P6" s="30" t="s">
        <v>52</v>
      </c>
    </row>
    <row r="7" spans="2:16" x14ac:dyDescent="0.4">
      <c r="B7" s="55">
        <v>2024</v>
      </c>
      <c r="C7" s="12" t="s">
        <v>10</v>
      </c>
      <c r="D7" s="24"/>
      <c r="E7" s="23">
        <v>12</v>
      </c>
      <c r="F7" s="23">
        <v>1</v>
      </c>
      <c r="G7" s="31">
        <f>F7/E7</f>
        <v>8.3333333333333329E-2</v>
      </c>
      <c r="H7" s="6"/>
      <c r="I7" s="6"/>
      <c r="J7" s="6"/>
      <c r="K7" s="6"/>
      <c r="L7" s="32">
        <f>D7+H7</f>
        <v>0</v>
      </c>
      <c r="M7" s="32">
        <f>E7+I7</f>
        <v>12</v>
      </c>
      <c r="N7" s="32">
        <f>F7+J7</f>
        <v>1</v>
      </c>
      <c r="O7" s="26">
        <f>G7</f>
        <v>8.3333333333333329E-2</v>
      </c>
      <c r="P7" s="26"/>
    </row>
    <row r="8" spans="2:16" x14ac:dyDescent="0.4">
      <c r="B8" s="55"/>
      <c r="C8" s="12" t="s">
        <v>11</v>
      </c>
      <c r="D8" s="24"/>
      <c r="E8" s="23">
        <v>11</v>
      </c>
      <c r="F8" s="23">
        <v>2</v>
      </c>
      <c r="G8" s="31">
        <f t="shared" ref="G8:G11" si="0">F8/E8</f>
        <v>0.18181818181818182</v>
      </c>
      <c r="H8" s="6"/>
      <c r="I8" s="6"/>
      <c r="J8" s="6"/>
      <c r="K8" s="6"/>
      <c r="L8" s="32">
        <f t="shared" ref="L8:L67" si="1">D8+H8</f>
        <v>0</v>
      </c>
      <c r="M8" s="32">
        <f t="shared" ref="M8:M67" si="2">E8+I8</f>
        <v>11</v>
      </c>
      <c r="N8" s="32">
        <f t="shared" ref="N8:N67" si="3">F8+J8</f>
        <v>2</v>
      </c>
      <c r="O8" s="26">
        <f t="shared" ref="O8:O67" si="4">G8</f>
        <v>0.18181818181818182</v>
      </c>
      <c r="P8" s="26"/>
    </row>
    <row r="9" spans="2:16" x14ac:dyDescent="0.4">
      <c r="B9" s="55"/>
      <c r="C9" s="12" t="s">
        <v>12</v>
      </c>
      <c r="D9" s="24"/>
      <c r="E9" s="23">
        <v>10</v>
      </c>
      <c r="F9" s="23">
        <v>6</v>
      </c>
      <c r="G9" s="31">
        <f t="shared" si="0"/>
        <v>0.6</v>
      </c>
      <c r="H9" s="6"/>
      <c r="I9" s="6"/>
      <c r="J9" s="6"/>
      <c r="K9" s="6"/>
      <c r="L9" s="32">
        <f t="shared" si="1"/>
        <v>0</v>
      </c>
      <c r="M9" s="32">
        <f t="shared" si="2"/>
        <v>10</v>
      </c>
      <c r="N9" s="32">
        <f t="shared" si="3"/>
        <v>6</v>
      </c>
      <c r="O9" s="26">
        <f t="shared" si="4"/>
        <v>0.6</v>
      </c>
      <c r="P9" s="26"/>
    </row>
    <row r="10" spans="2:16" x14ac:dyDescent="0.4">
      <c r="B10" s="55"/>
      <c r="C10" s="12" t="s">
        <v>13</v>
      </c>
      <c r="D10" s="24"/>
      <c r="E10" s="23">
        <v>1</v>
      </c>
      <c r="F10" s="23">
        <v>0</v>
      </c>
      <c r="G10" s="31">
        <f t="shared" si="0"/>
        <v>0</v>
      </c>
      <c r="H10" s="6"/>
      <c r="I10" s="6"/>
      <c r="J10" s="6"/>
      <c r="K10" s="6"/>
      <c r="L10" s="32">
        <f t="shared" si="1"/>
        <v>0</v>
      </c>
      <c r="M10" s="32">
        <f t="shared" si="2"/>
        <v>1</v>
      </c>
      <c r="N10" s="32">
        <f t="shared" si="3"/>
        <v>0</v>
      </c>
      <c r="O10" s="26">
        <f t="shared" si="4"/>
        <v>0</v>
      </c>
      <c r="P10" s="26"/>
    </row>
    <row r="11" spans="2:16" x14ac:dyDescent="0.4">
      <c r="B11" s="55"/>
      <c r="C11" s="12" t="s">
        <v>14</v>
      </c>
      <c r="D11" s="24"/>
      <c r="E11" s="23">
        <v>14</v>
      </c>
      <c r="F11" s="23">
        <v>6</v>
      </c>
      <c r="G11" s="31">
        <f t="shared" si="0"/>
        <v>0.42857142857142855</v>
      </c>
      <c r="H11" s="6"/>
      <c r="I11" s="6"/>
      <c r="J11" s="6"/>
      <c r="K11" s="6"/>
      <c r="L11" s="32">
        <f t="shared" si="1"/>
        <v>0</v>
      </c>
      <c r="M11" s="32">
        <f t="shared" si="2"/>
        <v>14</v>
      </c>
      <c r="N11" s="32">
        <f t="shared" si="3"/>
        <v>6</v>
      </c>
      <c r="O11" s="26">
        <f t="shared" si="4"/>
        <v>0.42857142857142855</v>
      </c>
      <c r="P11" s="26"/>
    </row>
    <row r="12" spans="2:16" x14ac:dyDescent="0.4">
      <c r="B12" s="55"/>
      <c r="C12" s="12" t="s">
        <v>15</v>
      </c>
      <c r="D12" s="24"/>
      <c r="E12" s="23">
        <v>0</v>
      </c>
      <c r="F12" s="23">
        <v>0</v>
      </c>
      <c r="G12" s="31" t="e">
        <f t="shared" ref="G12" si="5">F12/E12</f>
        <v>#DIV/0!</v>
      </c>
      <c r="H12" s="6"/>
      <c r="I12" s="6"/>
      <c r="J12" s="6"/>
      <c r="K12" s="6"/>
      <c r="L12" s="32">
        <f t="shared" si="1"/>
        <v>0</v>
      </c>
      <c r="M12" s="32">
        <f t="shared" si="2"/>
        <v>0</v>
      </c>
      <c r="N12" s="32">
        <f t="shared" si="3"/>
        <v>0</v>
      </c>
      <c r="O12" s="26" t="e">
        <f t="shared" si="4"/>
        <v>#DIV/0!</v>
      </c>
      <c r="P12" s="26"/>
    </row>
    <row r="13" spans="2:16" x14ac:dyDescent="0.4">
      <c r="B13" s="55">
        <v>2025</v>
      </c>
      <c r="C13" s="11" t="s">
        <v>16</v>
      </c>
      <c r="D13" s="24">
        <v>54</v>
      </c>
      <c r="E13" s="2">
        <v>2</v>
      </c>
      <c r="F13" s="2">
        <v>0</v>
      </c>
      <c r="G13" s="3">
        <f t="shared" ref="G13:G67" si="6">F13/E13</f>
        <v>0</v>
      </c>
      <c r="H13" s="6"/>
      <c r="I13" s="6"/>
      <c r="J13" s="6"/>
      <c r="K13" s="6"/>
      <c r="L13" s="32">
        <f t="shared" si="1"/>
        <v>54</v>
      </c>
      <c r="M13" s="32">
        <f t="shared" si="2"/>
        <v>2</v>
      </c>
      <c r="N13" s="32">
        <f t="shared" si="3"/>
        <v>0</v>
      </c>
      <c r="O13" s="26">
        <f t="shared" si="4"/>
        <v>0</v>
      </c>
      <c r="P13" s="26"/>
    </row>
    <row r="14" spans="2:16" x14ac:dyDescent="0.4">
      <c r="B14" s="55"/>
      <c r="C14" s="11" t="s">
        <v>17</v>
      </c>
      <c r="D14" s="24">
        <v>52</v>
      </c>
      <c r="E14" s="2">
        <v>11</v>
      </c>
      <c r="F14" s="2">
        <v>1</v>
      </c>
      <c r="G14" s="3">
        <f t="shared" si="6"/>
        <v>9.0909090909090912E-2</v>
      </c>
      <c r="H14" s="6"/>
      <c r="I14" s="6"/>
      <c r="J14" s="6"/>
      <c r="K14" s="6"/>
      <c r="L14" s="32">
        <f t="shared" si="1"/>
        <v>52</v>
      </c>
      <c r="M14" s="32">
        <f t="shared" si="2"/>
        <v>11</v>
      </c>
      <c r="N14" s="32">
        <f t="shared" si="3"/>
        <v>1</v>
      </c>
      <c r="O14" s="26">
        <f t="shared" si="4"/>
        <v>9.0909090909090912E-2</v>
      </c>
      <c r="P14" s="26"/>
    </row>
    <row r="15" spans="2:16" x14ac:dyDescent="0.4">
      <c r="B15" s="55"/>
      <c r="C15" s="11" t="s">
        <v>18</v>
      </c>
      <c r="D15" s="24">
        <v>48</v>
      </c>
      <c r="E15" s="2">
        <v>6</v>
      </c>
      <c r="F15" s="2">
        <v>0</v>
      </c>
      <c r="G15" s="3">
        <f t="shared" si="6"/>
        <v>0</v>
      </c>
      <c r="H15" s="6"/>
      <c r="I15" s="6"/>
      <c r="J15" s="6"/>
      <c r="K15" s="6"/>
      <c r="L15" s="32">
        <f t="shared" si="1"/>
        <v>48</v>
      </c>
      <c r="M15" s="32">
        <f t="shared" si="2"/>
        <v>6</v>
      </c>
      <c r="N15" s="32">
        <f t="shared" si="3"/>
        <v>0</v>
      </c>
      <c r="O15" s="26">
        <f t="shared" si="4"/>
        <v>0</v>
      </c>
      <c r="P15" s="26"/>
    </row>
    <row r="16" spans="2:16" x14ac:dyDescent="0.4">
      <c r="B16" s="55"/>
      <c r="C16" s="11" t="s">
        <v>19</v>
      </c>
      <c r="D16" s="24">
        <v>48</v>
      </c>
      <c r="E16" s="2">
        <v>0</v>
      </c>
      <c r="F16" s="2">
        <v>0</v>
      </c>
      <c r="G16" s="3" t="e">
        <f>F16/E16</f>
        <v>#DIV/0!</v>
      </c>
      <c r="H16" s="5"/>
      <c r="I16" s="5"/>
      <c r="J16" s="5"/>
      <c r="K16" s="17"/>
      <c r="L16" s="32">
        <f t="shared" si="1"/>
        <v>48</v>
      </c>
      <c r="M16" s="32">
        <f t="shared" si="2"/>
        <v>0</v>
      </c>
      <c r="N16" s="32">
        <f t="shared" si="3"/>
        <v>0</v>
      </c>
      <c r="O16" s="26" t="e">
        <f t="shared" si="4"/>
        <v>#DIV/0!</v>
      </c>
      <c r="P16" s="26"/>
    </row>
    <row r="17" spans="2:16" x14ac:dyDescent="0.4">
      <c r="B17" s="55"/>
      <c r="C17" s="11" t="s">
        <v>20</v>
      </c>
      <c r="D17" s="24">
        <v>125</v>
      </c>
      <c r="E17" s="2">
        <v>6</v>
      </c>
      <c r="F17" s="2">
        <v>0</v>
      </c>
      <c r="G17" s="3">
        <f t="shared" si="6"/>
        <v>0</v>
      </c>
      <c r="H17" s="18"/>
      <c r="I17" s="5"/>
      <c r="J17" s="5"/>
      <c r="K17" s="17"/>
      <c r="L17" s="32">
        <f t="shared" si="1"/>
        <v>125</v>
      </c>
      <c r="M17" s="32">
        <f t="shared" si="2"/>
        <v>6</v>
      </c>
      <c r="N17" s="32">
        <f t="shared" si="3"/>
        <v>0</v>
      </c>
      <c r="O17" s="26">
        <f t="shared" si="4"/>
        <v>0</v>
      </c>
      <c r="P17" s="26"/>
    </row>
    <row r="18" spans="2:16" x14ac:dyDescent="0.4">
      <c r="B18" s="55"/>
      <c r="C18" s="11" t="s">
        <v>21</v>
      </c>
      <c r="D18" s="24">
        <v>142</v>
      </c>
      <c r="E18" s="2">
        <v>21</v>
      </c>
      <c r="F18" s="2">
        <v>1</v>
      </c>
      <c r="G18" s="3">
        <f t="shared" si="6"/>
        <v>4.7619047619047616E-2</v>
      </c>
      <c r="H18" s="18"/>
      <c r="I18" s="5"/>
      <c r="J18" s="5"/>
      <c r="K18" s="17"/>
      <c r="L18" s="32">
        <f t="shared" si="1"/>
        <v>142</v>
      </c>
      <c r="M18" s="32">
        <f t="shared" si="2"/>
        <v>21</v>
      </c>
      <c r="N18" s="32">
        <f t="shared" si="3"/>
        <v>1</v>
      </c>
      <c r="O18" s="26">
        <f t="shared" si="4"/>
        <v>4.7619047619047616E-2</v>
      </c>
      <c r="P18" s="26"/>
    </row>
    <row r="19" spans="2:16" x14ac:dyDescent="0.4">
      <c r="B19" s="55"/>
      <c r="C19" s="11" t="s">
        <v>22</v>
      </c>
      <c r="D19" s="24">
        <v>169</v>
      </c>
      <c r="E19" s="2">
        <v>14</v>
      </c>
      <c r="F19" s="2">
        <v>0</v>
      </c>
      <c r="G19" s="3">
        <f t="shared" si="6"/>
        <v>0</v>
      </c>
      <c r="H19" s="6"/>
      <c r="I19" s="6"/>
      <c r="J19" s="6"/>
      <c r="K19" s="6"/>
      <c r="L19" s="32">
        <f t="shared" si="1"/>
        <v>169</v>
      </c>
      <c r="M19" s="32">
        <f t="shared" si="2"/>
        <v>14</v>
      </c>
      <c r="N19" s="32">
        <f t="shared" si="3"/>
        <v>0</v>
      </c>
      <c r="O19" s="26">
        <f t="shared" si="4"/>
        <v>0</v>
      </c>
      <c r="P19" s="26"/>
    </row>
    <row r="20" spans="2:16" x14ac:dyDescent="0.4">
      <c r="B20" s="55"/>
      <c r="C20" s="11" t="s">
        <v>0</v>
      </c>
      <c r="D20" s="24">
        <v>134</v>
      </c>
      <c r="E20" s="4">
        <v>17</v>
      </c>
      <c r="F20" s="4">
        <v>0</v>
      </c>
      <c r="G20" s="3">
        <f t="shared" si="6"/>
        <v>0</v>
      </c>
      <c r="H20" s="24">
        <v>20</v>
      </c>
      <c r="I20" s="4">
        <v>5</v>
      </c>
      <c r="J20" s="4">
        <v>0</v>
      </c>
      <c r="K20" s="17">
        <f t="shared" ref="K20:K37" si="7">J20/I20</f>
        <v>0</v>
      </c>
      <c r="L20" s="32">
        <f t="shared" si="1"/>
        <v>154</v>
      </c>
      <c r="M20" s="32">
        <f t="shared" si="2"/>
        <v>22</v>
      </c>
      <c r="N20" s="32">
        <f t="shared" si="3"/>
        <v>0</v>
      </c>
      <c r="O20" s="26">
        <f t="shared" si="4"/>
        <v>0</v>
      </c>
      <c r="P20" s="26">
        <f t="shared" ref="P20:P37" si="8">K20</f>
        <v>0</v>
      </c>
    </row>
    <row r="21" spans="2:16" x14ac:dyDescent="0.4">
      <c r="B21" s="55"/>
      <c r="C21" s="11" t="s">
        <v>1</v>
      </c>
      <c r="D21" s="24">
        <v>139</v>
      </c>
      <c r="E21" s="4">
        <v>26</v>
      </c>
      <c r="F21" s="4">
        <v>0</v>
      </c>
      <c r="G21" s="3">
        <f t="shared" si="6"/>
        <v>0</v>
      </c>
      <c r="H21" s="24">
        <v>27</v>
      </c>
      <c r="I21" s="4">
        <v>21</v>
      </c>
      <c r="J21" s="4">
        <v>0</v>
      </c>
      <c r="K21" s="17">
        <f t="shared" si="7"/>
        <v>0</v>
      </c>
      <c r="L21" s="32">
        <f t="shared" si="1"/>
        <v>166</v>
      </c>
      <c r="M21" s="32">
        <f t="shared" si="2"/>
        <v>47</v>
      </c>
      <c r="N21" s="32">
        <f t="shared" si="3"/>
        <v>0</v>
      </c>
      <c r="O21" s="26">
        <f t="shared" si="4"/>
        <v>0</v>
      </c>
      <c r="P21" s="26">
        <f t="shared" si="8"/>
        <v>0</v>
      </c>
    </row>
    <row r="22" spans="2:16" x14ac:dyDescent="0.4">
      <c r="B22" s="55"/>
      <c r="C22" s="11" t="s">
        <v>2</v>
      </c>
      <c r="D22" s="24">
        <v>115</v>
      </c>
      <c r="E22" s="4">
        <v>26</v>
      </c>
      <c r="F22" s="4">
        <v>1</v>
      </c>
      <c r="G22" s="3">
        <f t="shared" si="6"/>
        <v>3.8461538461538464E-2</v>
      </c>
      <c r="H22" s="24">
        <v>17</v>
      </c>
      <c r="I22" s="4">
        <v>14</v>
      </c>
      <c r="J22" s="4">
        <v>0</v>
      </c>
      <c r="K22" s="17">
        <f t="shared" si="7"/>
        <v>0</v>
      </c>
      <c r="L22" s="32">
        <f t="shared" si="1"/>
        <v>132</v>
      </c>
      <c r="M22" s="32">
        <f t="shared" si="2"/>
        <v>40</v>
      </c>
      <c r="N22" s="32">
        <f t="shared" si="3"/>
        <v>1</v>
      </c>
      <c r="O22" s="26">
        <f t="shared" si="4"/>
        <v>3.8461538461538464E-2</v>
      </c>
      <c r="P22" s="26">
        <f t="shared" si="8"/>
        <v>0</v>
      </c>
    </row>
    <row r="23" spans="2:16" x14ac:dyDescent="0.4">
      <c r="B23" s="55"/>
      <c r="C23" s="11" t="s">
        <v>3</v>
      </c>
      <c r="D23" s="24">
        <v>83</v>
      </c>
      <c r="E23" s="4">
        <v>25</v>
      </c>
      <c r="F23" s="4">
        <v>0</v>
      </c>
      <c r="G23" s="3">
        <f t="shared" si="6"/>
        <v>0</v>
      </c>
      <c r="H23" s="24">
        <v>20</v>
      </c>
      <c r="I23" s="4">
        <v>19</v>
      </c>
      <c r="J23" s="4">
        <v>0</v>
      </c>
      <c r="K23" s="17">
        <f t="shared" si="7"/>
        <v>0</v>
      </c>
      <c r="L23" s="32">
        <f t="shared" si="1"/>
        <v>103</v>
      </c>
      <c r="M23" s="32">
        <f t="shared" si="2"/>
        <v>44</v>
      </c>
      <c r="N23" s="32">
        <f t="shared" si="3"/>
        <v>0</v>
      </c>
      <c r="O23" s="26">
        <f t="shared" si="4"/>
        <v>0</v>
      </c>
      <c r="P23" s="26">
        <f t="shared" si="8"/>
        <v>0</v>
      </c>
    </row>
    <row r="24" spans="2:16" x14ac:dyDescent="0.4">
      <c r="B24" s="55"/>
      <c r="C24" s="11" t="s">
        <v>4</v>
      </c>
      <c r="D24" s="24">
        <v>229</v>
      </c>
      <c r="E24" s="4">
        <v>12</v>
      </c>
      <c r="F24" s="4">
        <v>0</v>
      </c>
      <c r="G24" s="3">
        <f t="shared" si="6"/>
        <v>0</v>
      </c>
      <c r="H24" s="24">
        <v>24</v>
      </c>
      <c r="I24" s="4">
        <v>11</v>
      </c>
      <c r="J24" s="4">
        <v>1</v>
      </c>
      <c r="K24" s="17">
        <f t="shared" si="7"/>
        <v>9.0909090909090912E-2</v>
      </c>
      <c r="L24" s="32">
        <f t="shared" si="1"/>
        <v>253</v>
      </c>
      <c r="M24" s="32">
        <f t="shared" si="2"/>
        <v>23</v>
      </c>
      <c r="N24" s="32">
        <f t="shared" si="3"/>
        <v>1</v>
      </c>
      <c r="O24" s="26">
        <f t="shared" si="4"/>
        <v>0</v>
      </c>
      <c r="P24" s="26">
        <f t="shared" si="8"/>
        <v>9.0909090909090912E-2</v>
      </c>
    </row>
    <row r="25" spans="2:16" x14ac:dyDescent="0.4">
      <c r="B25" s="55"/>
      <c r="C25" s="11" t="s">
        <v>5</v>
      </c>
      <c r="D25" s="24">
        <v>196</v>
      </c>
      <c r="E25" s="4">
        <v>30</v>
      </c>
      <c r="F25" s="4">
        <v>0</v>
      </c>
      <c r="G25" s="3">
        <f t="shared" si="6"/>
        <v>0</v>
      </c>
      <c r="H25" s="24">
        <v>34</v>
      </c>
      <c r="I25" s="4">
        <v>22</v>
      </c>
      <c r="J25" s="4">
        <v>0</v>
      </c>
      <c r="K25" s="17">
        <f t="shared" si="7"/>
        <v>0</v>
      </c>
      <c r="L25" s="32">
        <f t="shared" si="1"/>
        <v>230</v>
      </c>
      <c r="M25" s="32">
        <f t="shared" si="2"/>
        <v>52</v>
      </c>
      <c r="N25" s="32">
        <f t="shared" si="3"/>
        <v>0</v>
      </c>
      <c r="O25" s="26">
        <f t="shared" si="4"/>
        <v>0</v>
      </c>
      <c r="P25" s="26">
        <f t="shared" si="8"/>
        <v>0</v>
      </c>
    </row>
    <row r="26" spans="2:16" x14ac:dyDescent="0.4">
      <c r="B26" s="55"/>
      <c r="C26" s="11" t="s">
        <v>6</v>
      </c>
      <c r="D26" s="24">
        <v>298</v>
      </c>
      <c r="E26" s="4">
        <v>18</v>
      </c>
      <c r="F26" s="4">
        <v>0</v>
      </c>
      <c r="G26" s="3">
        <f t="shared" si="6"/>
        <v>0</v>
      </c>
      <c r="H26" s="24">
        <v>19</v>
      </c>
      <c r="I26" s="4">
        <v>15</v>
      </c>
      <c r="J26" s="4">
        <v>0</v>
      </c>
      <c r="K26" s="17">
        <f t="shared" si="7"/>
        <v>0</v>
      </c>
      <c r="L26" s="32">
        <f t="shared" si="1"/>
        <v>317</v>
      </c>
      <c r="M26" s="32">
        <f t="shared" si="2"/>
        <v>33</v>
      </c>
      <c r="N26" s="32">
        <f t="shared" si="3"/>
        <v>0</v>
      </c>
      <c r="O26" s="26">
        <f t="shared" si="4"/>
        <v>0</v>
      </c>
      <c r="P26" s="26">
        <f t="shared" si="8"/>
        <v>0</v>
      </c>
    </row>
    <row r="27" spans="2:16" x14ac:dyDescent="0.4">
      <c r="B27" s="55"/>
      <c r="C27" s="11" t="s">
        <v>7</v>
      </c>
      <c r="D27" s="24">
        <v>263</v>
      </c>
      <c r="E27" s="4">
        <v>13</v>
      </c>
      <c r="F27" s="4">
        <v>0</v>
      </c>
      <c r="G27" s="3">
        <f t="shared" si="6"/>
        <v>0</v>
      </c>
      <c r="H27" s="24">
        <v>42</v>
      </c>
      <c r="I27" s="4">
        <v>18</v>
      </c>
      <c r="J27" s="4">
        <v>0</v>
      </c>
      <c r="K27" s="17">
        <f t="shared" si="7"/>
        <v>0</v>
      </c>
      <c r="L27" s="32">
        <f t="shared" si="1"/>
        <v>305</v>
      </c>
      <c r="M27" s="32">
        <f t="shared" si="2"/>
        <v>31</v>
      </c>
      <c r="N27" s="32">
        <f t="shared" si="3"/>
        <v>0</v>
      </c>
      <c r="O27" s="26">
        <f t="shared" si="4"/>
        <v>0</v>
      </c>
      <c r="P27" s="26">
        <f t="shared" si="8"/>
        <v>0</v>
      </c>
    </row>
    <row r="28" spans="2:16" x14ac:dyDescent="0.4">
      <c r="B28" s="55"/>
      <c r="C28" s="11" t="s">
        <v>25</v>
      </c>
      <c r="D28" s="24">
        <v>230</v>
      </c>
      <c r="E28" s="4">
        <v>20</v>
      </c>
      <c r="F28" s="4">
        <v>0</v>
      </c>
      <c r="G28" s="3">
        <f t="shared" si="6"/>
        <v>0</v>
      </c>
      <c r="H28" s="24">
        <v>30</v>
      </c>
      <c r="I28" s="4">
        <v>23</v>
      </c>
      <c r="J28" s="4">
        <v>0</v>
      </c>
      <c r="K28" s="17">
        <f t="shared" si="7"/>
        <v>0</v>
      </c>
      <c r="L28" s="32">
        <f t="shared" si="1"/>
        <v>260</v>
      </c>
      <c r="M28" s="32">
        <f t="shared" si="2"/>
        <v>43</v>
      </c>
      <c r="N28" s="32">
        <f t="shared" si="3"/>
        <v>0</v>
      </c>
      <c r="O28" s="26">
        <f t="shared" si="4"/>
        <v>0</v>
      </c>
      <c r="P28" s="26">
        <f t="shared" si="8"/>
        <v>0</v>
      </c>
    </row>
    <row r="29" spans="2:16" x14ac:dyDescent="0.4">
      <c r="B29" s="55"/>
      <c r="C29" s="11" t="s">
        <v>26</v>
      </c>
      <c r="D29" s="24">
        <v>282</v>
      </c>
      <c r="E29" s="4">
        <v>2</v>
      </c>
      <c r="F29" s="4">
        <v>0</v>
      </c>
      <c r="G29" s="3">
        <f t="shared" si="6"/>
        <v>0</v>
      </c>
      <c r="H29" s="24">
        <v>41</v>
      </c>
      <c r="I29" s="4">
        <v>30</v>
      </c>
      <c r="J29" s="4">
        <v>0</v>
      </c>
      <c r="K29" s="17">
        <f t="shared" si="7"/>
        <v>0</v>
      </c>
      <c r="L29" s="32">
        <f t="shared" si="1"/>
        <v>323</v>
      </c>
      <c r="M29" s="32">
        <f t="shared" si="2"/>
        <v>32</v>
      </c>
      <c r="N29" s="32">
        <f t="shared" si="3"/>
        <v>0</v>
      </c>
      <c r="O29" s="26">
        <f t="shared" si="4"/>
        <v>0</v>
      </c>
      <c r="P29" s="26">
        <f t="shared" si="8"/>
        <v>0</v>
      </c>
    </row>
    <row r="30" spans="2:16" x14ac:dyDescent="0.4">
      <c r="B30" s="55"/>
      <c r="C30" s="11" t="s">
        <v>27</v>
      </c>
      <c r="D30" s="24">
        <v>353</v>
      </c>
      <c r="E30" s="4">
        <v>23</v>
      </c>
      <c r="F30" s="4">
        <v>1</v>
      </c>
      <c r="G30" s="3">
        <f t="shared" si="6"/>
        <v>4.3478260869565216E-2</v>
      </c>
      <c r="H30" s="24">
        <v>26</v>
      </c>
      <c r="I30" s="4">
        <v>12</v>
      </c>
      <c r="J30" s="4">
        <v>0</v>
      </c>
      <c r="K30" s="17">
        <f t="shared" si="7"/>
        <v>0</v>
      </c>
      <c r="L30" s="32">
        <f t="shared" si="1"/>
        <v>379</v>
      </c>
      <c r="M30" s="32">
        <f t="shared" si="2"/>
        <v>35</v>
      </c>
      <c r="N30" s="32">
        <f t="shared" si="3"/>
        <v>1</v>
      </c>
      <c r="O30" s="26">
        <f t="shared" si="4"/>
        <v>4.3478260869565216E-2</v>
      </c>
      <c r="P30" s="26">
        <f t="shared" si="8"/>
        <v>0</v>
      </c>
    </row>
    <row r="31" spans="2:16" x14ac:dyDescent="0.4">
      <c r="B31" s="55"/>
      <c r="C31" s="11" t="s">
        <v>28</v>
      </c>
      <c r="D31" s="24">
        <v>553</v>
      </c>
      <c r="E31" s="4">
        <v>26</v>
      </c>
      <c r="F31" s="4">
        <v>1</v>
      </c>
      <c r="G31" s="3">
        <f t="shared" si="6"/>
        <v>3.8461538461538464E-2</v>
      </c>
      <c r="H31" s="24">
        <v>0</v>
      </c>
      <c r="I31" s="4">
        <v>0</v>
      </c>
      <c r="J31" s="4">
        <v>0</v>
      </c>
      <c r="K31" s="17" t="e">
        <f t="shared" si="7"/>
        <v>#DIV/0!</v>
      </c>
      <c r="L31" s="32">
        <f t="shared" si="1"/>
        <v>553</v>
      </c>
      <c r="M31" s="32">
        <f t="shared" si="2"/>
        <v>26</v>
      </c>
      <c r="N31" s="32">
        <f t="shared" si="3"/>
        <v>1</v>
      </c>
      <c r="O31" s="26">
        <f t="shared" si="4"/>
        <v>3.8461538461538464E-2</v>
      </c>
      <c r="P31" s="26" t="e">
        <f t="shared" si="8"/>
        <v>#DIV/0!</v>
      </c>
    </row>
    <row r="32" spans="2:16" x14ac:dyDescent="0.4">
      <c r="B32" s="55"/>
      <c r="C32" s="11" t="s">
        <v>29</v>
      </c>
      <c r="D32" s="24">
        <v>541</v>
      </c>
      <c r="E32" s="4">
        <v>25</v>
      </c>
      <c r="F32" s="4">
        <v>0</v>
      </c>
      <c r="G32" s="3">
        <f t="shared" si="6"/>
        <v>0</v>
      </c>
      <c r="H32" s="24">
        <v>36</v>
      </c>
      <c r="I32" s="4">
        <v>14</v>
      </c>
      <c r="J32" s="4">
        <v>1</v>
      </c>
      <c r="K32" s="17">
        <f t="shared" si="7"/>
        <v>7.1428571428571425E-2</v>
      </c>
      <c r="L32" s="32">
        <f t="shared" si="1"/>
        <v>577</v>
      </c>
      <c r="M32" s="32">
        <f t="shared" si="2"/>
        <v>39</v>
      </c>
      <c r="N32" s="32">
        <f t="shared" si="3"/>
        <v>1</v>
      </c>
      <c r="O32" s="26">
        <f t="shared" si="4"/>
        <v>0</v>
      </c>
      <c r="P32" s="26">
        <f t="shared" si="8"/>
        <v>7.1428571428571425E-2</v>
      </c>
    </row>
    <row r="33" spans="2:16" x14ac:dyDescent="0.4">
      <c r="B33" s="55"/>
      <c r="C33" s="11" t="s">
        <v>30</v>
      </c>
      <c r="D33" s="24">
        <v>445</v>
      </c>
      <c r="E33" s="4">
        <v>23</v>
      </c>
      <c r="F33" s="4">
        <v>0</v>
      </c>
      <c r="G33" s="3">
        <f t="shared" si="6"/>
        <v>0</v>
      </c>
      <c r="H33" s="24">
        <v>55</v>
      </c>
      <c r="I33" s="4">
        <v>29</v>
      </c>
      <c r="J33" s="4">
        <v>0</v>
      </c>
      <c r="K33" s="17">
        <f t="shared" si="7"/>
        <v>0</v>
      </c>
      <c r="L33" s="32">
        <f t="shared" si="1"/>
        <v>500</v>
      </c>
      <c r="M33" s="32">
        <f t="shared" si="2"/>
        <v>52</v>
      </c>
      <c r="N33" s="32">
        <f t="shared" si="3"/>
        <v>0</v>
      </c>
      <c r="O33" s="26">
        <f t="shared" si="4"/>
        <v>0</v>
      </c>
      <c r="P33" s="26">
        <f t="shared" si="8"/>
        <v>0</v>
      </c>
    </row>
    <row r="34" spans="2:16" x14ac:dyDescent="0.4">
      <c r="B34" s="55"/>
      <c r="C34" s="11" t="s">
        <v>31</v>
      </c>
      <c r="D34" s="24">
        <v>667</v>
      </c>
      <c r="E34" s="4">
        <v>25</v>
      </c>
      <c r="F34" s="4">
        <v>0</v>
      </c>
      <c r="G34" s="3">
        <f t="shared" si="6"/>
        <v>0</v>
      </c>
      <c r="H34" s="24">
        <v>31</v>
      </c>
      <c r="I34" s="4">
        <v>23</v>
      </c>
      <c r="J34" s="4">
        <v>0</v>
      </c>
      <c r="K34" s="17">
        <f t="shared" si="7"/>
        <v>0</v>
      </c>
      <c r="L34" s="32">
        <f t="shared" si="1"/>
        <v>698</v>
      </c>
      <c r="M34" s="32">
        <f t="shared" si="2"/>
        <v>48</v>
      </c>
      <c r="N34" s="32">
        <f t="shared" si="3"/>
        <v>0</v>
      </c>
      <c r="O34" s="26">
        <f t="shared" si="4"/>
        <v>0</v>
      </c>
      <c r="P34" s="26">
        <f t="shared" si="8"/>
        <v>0</v>
      </c>
    </row>
    <row r="35" spans="2:16" x14ac:dyDescent="0.4">
      <c r="B35" s="55"/>
      <c r="C35" s="11" t="s">
        <v>32</v>
      </c>
      <c r="D35" s="24">
        <v>621</v>
      </c>
      <c r="E35" s="4">
        <v>25</v>
      </c>
      <c r="F35" s="4">
        <v>1</v>
      </c>
      <c r="G35" s="3">
        <f t="shared" si="6"/>
        <v>0.04</v>
      </c>
      <c r="H35" s="24">
        <v>38</v>
      </c>
      <c r="I35" s="4">
        <v>24</v>
      </c>
      <c r="J35" s="4">
        <v>0</v>
      </c>
      <c r="K35" s="17">
        <f t="shared" si="7"/>
        <v>0</v>
      </c>
      <c r="L35" s="32">
        <f t="shared" si="1"/>
        <v>659</v>
      </c>
      <c r="M35" s="32">
        <f t="shared" si="2"/>
        <v>49</v>
      </c>
      <c r="N35" s="32">
        <f t="shared" si="3"/>
        <v>1</v>
      </c>
      <c r="O35" s="26">
        <f t="shared" si="4"/>
        <v>0.04</v>
      </c>
      <c r="P35" s="26">
        <f t="shared" si="8"/>
        <v>0</v>
      </c>
    </row>
    <row r="36" spans="2:16" x14ac:dyDescent="0.4">
      <c r="B36" s="55"/>
      <c r="C36" s="11" t="s">
        <v>33</v>
      </c>
      <c r="D36" s="24">
        <v>724</v>
      </c>
      <c r="E36" s="4">
        <v>25</v>
      </c>
      <c r="F36" s="4">
        <v>0</v>
      </c>
      <c r="G36" s="3">
        <f t="shared" si="6"/>
        <v>0</v>
      </c>
      <c r="H36" s="24">
        <v>47</v>
      </c>
      <c r="I36" s="4">
        <v>24</v>
      </c>
      <c r="J36" s="4">
        <v>0</v>
      </c>
      <c r="K36" s="17">
        <f t="shared" si="7"/>
        <v>0</v>
      </c>
      <c r="L36" s="32">
        <f t="shared" si="1"/>
        <v>771</v>
      </c>
      <c r="M36" s="32">
        <f t="shared" si="2"/>
        <v>49</v>
      </c>
      <c r="N36" s="32">
        <f t="shared" si="3"/>
        <v>0</v>
      </c>
      <c r="O36" s="26">
        <f t="shared" si="4"/>
        <v>0</v>
      </c>
      <c r="P36" s="26">
        <f t="shared" si="8"/>
        <v>0</v>
      </c>
    </row>
    <row r="37" spans="2:16" x14ac:dyDescent="0.4">
      <c r="B37" s="55"/>
      <c r="C37" s="11" t="s">
        <v>34</v>
      </c>
      <c r="D37" s="24">
        <v>651</v>
      </c>
      <c r="E37" s="4">
        <v>10</v>
      </c>
      <c r="F37" s="4">
        <v>0</v>
      </c>
      <c r="G37" s="3">
        <f t="shared" si="6"/>
        <v>0</v>
      </c>
      <c r="H37" s="24">
        <v>39</v>
      </c>
      <c r="I37" s="4">
        <v>24</v>
      </c>
      <c r="J37" s="4">
        <v>0</v>
      </c>
      <c r="K37" s="17">
        <f t="shared" si="7"/>
        <v>0</v>
      </c>
      <c r="L37" s="32">
        <f t="shared" si="1"/>
        <v>690</v>
      </c>
      <c r="M37" s="32">
        <f t="shared" si="2"/>
        <v>34</v>
      </c>
      <c r="N37" s="32">
        <f t="shared" si="3"/>
        <v>0</v>
      </c>
      <c r="O37" s="26">
        <f t="shared" si="4"/>
        <v>0</v>
      </c>
      <c r="P37" s="26">
        <f t="shared" si="8"/>
        <v>0</v>
      </c>
    </row>
    <row r="38" spans="2:16" s="9" customFormat="1" x14ac:dyDescent="0.4">
      <c r="B38" s="33"/>
      <c r="C38" s="11" t="s">
        <v>36</v>
      </c>
      <c r="D38">
        <v>554</v>
      </c>
      <c r="E38" s="34">
        <v>18</v>
      </c>
      <c r="F38" s="34">
        <v>0</v>
      </c>
      <c r="G38" s="3">
        <f t="shared" si="6"/>
        <v>0</v>
      </c>
      <c r="H38">
        <v>64</v>
      </c>
      <c r="I38" s="34">
        <v>19</v>
      </c>
      <c r="J38" s="34">
        <v>0</v>
      </c>
      <c r="K38" s="17">
        <f t="shared" ref="K38:K67" si="9">J38/I38</f>
        <v>0</v>
      </c>
      <c r="L38" s="32">
        <f t="shared" si="1"/>
        <v>618</v>
      </c>
      <c r="M38" s="32">
        <f t="shared" si="2"/>
        <v>37</v>
      </c>
      <c r="N38" s="32">
        <f t="shared" si="3"/>
        <v>0</v>
      </c>
      <c r="O38" s="26">
        <f t="shared" si="4"/>
        <v>0</v>
      </c>
      <c r="P38" s="26">
        <f t="shared" ref="P38:P67" si="10">K38</f>
        <v>0</v>
      </c>
    </row>
    <row r="39" spans="2:16" s="9" customFormat="1" x14ac:dyDescent="0.4">
      <c r="B39" s="33"/>
      <c r="C39" s="11" t="s">
        <v>37</v>
      </c>
      <c r="D39">
        <v>613</v>
      </c>
      <c r="E39" s="34">
        <v>25</v>
      </c>
      <c r="F39" s="34">
        <v>0</v>
      </c>
      <c r="G39" s="3">
        <f t="shared" si="6"/>
        <v>0</v>
      </c>
      <c r="H39">
        <v>77</v>
      </c>
      <c r="I39" s="34">
        <v>14</v>
      </c>
      <c r="J39" s="34">
        <v>0</v>
      </c>
      <c r="K39" s="17">
        <f t="shared" si="9"/>
        <v>0</v>
      </c>
      <c r="L39" s="32">
        <f t="shared" si="1"/>
        <v>690</v>
      </c>
      <c r="M39" s="32">
        <f t="shared" si="2"/>
        <v>39</v>
      </c>
      <c r="N39" s="32">
        <f t="shared" si="3"/>
        <v>0</v>
      </c>
      <c r="O39" s="26">
        <f t="shared" si="4"/>
        <v>0</v>
      </c>
      <c r="P39" s="26">
        <f t="shared" si="10"/>
        <v>0</v>
      </c>
    </row>
    <row r="40" spans="2:16" s="9" customFormat="1" x14ac:dyDescent="0.4">
      <c r="B40" s="33"/>
      <c r="C40" s="11" t="s">
        <v>38</v>
      </c>
      <c r="D40">
        <v>685</v>
      </c>
      <c r="E40" s="34">
        <v>25</v>
      </c>
      <c r="F40" s="34">
        <v>0</v>
      </c>
      <c r="G40" s="3">
        <f t="shared" si="6"/>
        <v>0</v>
      </c>
      <c r="H40">
        <v>89</v>
      </c>
      <c r="I40" s="34">
        <v>18</v>
      </c>
      <c r="J40" s="34">
        <v>0</v>
      </c>
      <c r="K40" s="17">
        <f t="shared" si="9"/>
        <v>0</v>
      </c>
      <c r="L40" s="32">
        <f t="shared" si="1"/>
        <v>774</v>
      </c>
      <c r="M40" s="32">
        <f t="shared" si="2"/>
        <v>43</v>
      </c>
      <c r="N40" s="32">
        <f t="shared" si="3"/>
        <v>0</v>
      </c>
      <c r="O40" s="26">
        <f t="shared" si="4"/>
        <v>0</v>
      </c>
      <c r="P40" s="26">
        <f t="shared" si="10"/>
        <v>0</v>
      </c>
    </row>
    <row r="41" spans="2:16" s="9" customFormat="1" x14ac:dyDescent="0.4">
      <c r="B41" s="33"/>
      <c r="C41" s="11" t="s">
        <v>39</v>
      </c>
      <c r="D41">
        <v>680</v>
      </c>
      <c r="E41" s="34">
        <v>24</v>
      </c>
      <c r="F41" s="34">
        <v>0</v>
      </c>
      <c r="G41" s="3">
        <f t="shared" si="6"/>
        <v>0</v>
      </c>
      <c r="H41">
        <v>66</v>
      </c>
      <c r="I41" s="34">
        <v>23</v>
      </c>
      <c r="J41" s="34">
        <v>0</v>
      </c>
      <c r="K41" s="17">
        <f t="shared" si="9"/>
        <v>0</v>
      </c>
      <c r="L41" s="32">
        <f t="shared" si="1"/>
        <v>746</v>
      </c>
      <c r="M41" s="32">
        <f t="shared" si="2"/>
        <v>47</v>
      </c>
      <c r="N41" s="32">
        <f t="shared" si="3"/>
        <v>0</v>
      </c>
      <c r="O41" s="26">
        <f t="shared" si="4"/>
        <v>0</v>
      </c>
      <c r="P41" s="26">
        <f t="shared" si="10"/>
        <v>0</v>
      </c>
    </row>
    <row r="42" spans="2:16" s="9" customFormat="1" x14ac:dyDescent="0.4">
      <c r="B42" s="33"/>
      <c r="C42" s="11" t="s">
        <v>40</v>
      </c>
      <c r="D42">
        <v>641</v>
      </c>
      <c r="E42" s="34">
        <v>24</v>
      </c>
      <c r="F42" s="34">
        <v>0</v>
      </c>
      <c r="G42" s="3">
        <f t="shared" si="6"/>
        <v>0</v>
      </c>
      <c r="H42">
        <v>54</v>
      </c>
      <c r="I42" s="34">
        <v>24</v>
      </c>
      <c r="J42" s="34">
        <v>0</v>
      </c>
      <c r="K42" s="17">
        <f t="shared" si="9"/>
        <v>0</v>
      </c>
      <c r="L42" s="32">
        <f t="shared" si="1"/>
        <v>695</v>
      </c>
      <c r="M42" s="32">
        <f t="shared" si="2"/>
        <v>48</v>
      </c>
      <c r="N42" s="32">
        <f t="shared" si="3"/>
        <v>0</v>
      </c>
      <c r="O42" s="26">
        <f t="shared" si="4"/>
        <v>0</v>
      </c>
      <c r="P42" s="26">
        <f t="shared" si="10"/>
        <v>0</v>
      </c>
    </row>
    <row r="43" spans="2:16" s="9" customFormat="1" x14ac:dyDescent="0.4">
      <c r="B43" s="33"/>
      <c r="C43" s="11" t="s">
        <v>41</v>
      </c>
      <c r="D43">
        <v>595</v>
      </c>
      <c r="E43" s="34">
        <v>17</v>
      </c>
      <c r="F43" s="34">
        <v>0</v>
      </c>
      <c r="G43" s="3">
        <f t="shared" si="6"/>
        <v>0</v>
      </c>
      <c r="H43">
        <v>80</v>
      </c>
      <c r="I43" s="34">
        <v>8</v>
      </c>
      <c r="J43" s="34">
        <v>0</v>
      </c>
      <c r="K43" s="17">
        <f t="shared" si="9"/>
        <v>0</v>
      </c>
      <c r="L43" s="32">
        <f t="shared" si="1"/>
        <v>675</v>
      </c>
      <c r="M43" s="32">
        <f t="shared" si="2"/>
        <v>25</v>
      </c>
      <c r="N43" s="32">
        <f t="shared" si="3"/>
        <v>0</v>
      </c>
      <c r="O43" s="26">
        <f t="shared" si="4"/>
        <v>0</v>
      </c>
      <c r="P43" s="26">
        <f t="shared" si="10"/>
        <v>0</v>
      </c>
    </row>
    <row r="44" spans="2:16" s="9" customFormat="1" x14ac:dyDescent="0.4">
      <c r="B44" s="33"/>
      <c r="C44" s="11" t="s">
        <v>58</v>
      </c>
      <c r="D44">
        <v>753</v>
      </c>
      <c r="E44" s="34">
        <v>16</v>
      </c>
      <c r="F44" s="34">
        <v>0</v>
      </c>
      <c r="G44" s="3">
        <f t="shared" si="6"/>
        <v>0</v>
      </c>
      <c r="H44">
        <v>65</v>
      </c>
      <c r="I44" s="34">
        <v>28</v>
      </c>
      <c r="J44" s="34"/>
      <c r="K44" s="17">
        <f t="shared" si="9"/>
        <v>0</v>
      </c>
      <c r="L44" s="32" t="e">
        <f>#REF!+H44</f>
        <v>#REF!</v>
      </c>
      <c r="M44" s="32">
        <f t="shared" si="2"/>
        <v>44</v>
      </c>
      <c r="N44" s="32">
        <f t="shared" si="3"/>
        <v>0</v>
      </c>
      <c r="O44" s="26">
        <f t="shared" si="4"/>
        <v>0</v>
      </c>
      <c r="P44" s="26">
        <f t="shared" si="10"/>
        <v>0</v>
      </c>
    </row>
    <row r="45" spans="2:16" s="9" customFormat="1" x14ac:dyDescent="0.4">
      <c r="B45" s="33"/>
      <c r="C45" s="11" t="s">
        <v>59</v>
      </c>
      <c r="D45">
        <v>635</v>
      </c>
      <c r="E45" s="34">
        <v>13</v>
      </c>
      <c r="F45" s="34">
        <v>0</v>
      </c>
      <c r="G45" s="3">
        <f t="shared" si="6"/>
        <v>0</v>
      </c>
      <c r="H45">
        <v>71</v>
      </c>
      <c r="I45" s="34">
        <v>23</v>
      </c>
      <c r="J45" s="34"/>
      <c r="K45" s="17">
        <f t="shared" si="9"/>
        <v>0</v>
      </c>
      <c r="L45" s="32" t="e">
        <f>#REF!+H45</f>
        <v>#REF!</v>
      </c>
      <c r="M45" s="32">
        <f t="shared" si="2"/>
        <v>36</v>
      </c>
      <c r="N45" s="32">
        <f t="shared" si="3"/>
        <v>0</v>
      </c>
      <c r="O45" s="26">
        <f t="shared" si="4"/>
        <v>0</v>
      </c>
      <c r="P45" s="26">
        <f t="shared" si="10"/>
        <v>0</v>
      </c>
    </row>
    <row r="46" spans="2:16" s="9" customFormat="1" x14ac:dyDescent="0.4">
      <c r="B46" s="33"/>
      <c r="C46" s="11" t="s">
        <v>60</v>
      </c>
      <c r="D46">
        <v>668</v>
      </c>
      <c r="E46" s="34">
        <v>15</v>
      </c>
      <c r="F46" s="34">
        <v>0</v>
      </c>
      <c r="G46" s="3">
        <f t="shared" si="6"/>
        <v>0</v>
      </c>
      <c r="H46">
        <v>74</v>
      </c>
      <c r="I46" s="34">
        <v>32</v>
      </c>
      <c r="J46" s="34"/>
      <c r="K46" s="17">
        <f t="shared" si="9"/>
        <v>0</v>
      </c>
      <c r="L46" s="32">
        <f t="shared" si="1"/>
        <v>742</v>
      </c>
      <c r="M46" s="32">
        <f t="shared" si="2"/>
        <v>47</v>
      </c>
      <c r="N46" s="32">
        <f t="shared" si="3"/>
        <v>0</v>
      </c>
      <c r="O46" s="26">
        <f t="shared" si="4"/>
        <v>0</v>
      </c>
      <c r="P46" s="26">
        <f t="shared" si="10"/>
        <v>0</v>
      </c>
    </row>
    <row r="47" spans="2:16" s="9" customFormat="1" x14ac:dyDescent="0.4">
      <c r="B47" s="33"/>
      <c r="C47" s="11" t="s">
        <v>61</v>
      </c>
      <c r="D47">
        <v>601</v>
      </c>
      <c r="E47" s="34">
        <v>13</v>
      </c>
      <c r="F47" s="34">
        <v>0</v>
      </c>
      <c r="G47" s="3">
        <f t="shared" si="6"/>
        <v>0</v>
      </c>
      <c r="H47">
        <v>56</v>
      </c>
      <c r="I47" s="34">
        <v>32</v>
      </c>
      <c r="J47" s="34"/>
      <c r="K47" s="17">
        <f t="shared" si="9"/>
        <v>0</v>
      </c>
      <c r="L47" s="32">
        <f t="shared" si="1"/>
        <v>657</v>
      </c>
      <c r="M47" s="32">
        <f t="shared" si="2"/>
        <v>45</v>
      </c>
      <c r="N47" s="32">
        <f t="shared" si="3"/>
        <v>0</v>
      </c>
      <c r="O47" s="26">
        <f t="shared" si="4"/>
        <v>0</v>
      </c>
      <c r="P47" s="26">
        <f t="shared" si="10"/>
        <v>0</v>
      </c>
    </row>
    <row r="48" spans="2:16" s="9" customFormat="1" x14ac:dyDescent="0.4">
      <c r="B48" s="33"/>
      <c r="C48" s="11" t="s">
        <v>62</v>
      </c>
      <c r="D48">
        <v>634</v>
      </c>
      <c r="E48" s="34">
        <v>15</v>
      </c>
      <c r="F48" s="34">
        <v>0</v>
      </c>
      <c r="G48" s="3">
        <f t="shared" si="6"/>
        <v>0</v>
      </c>
      <c r="H48">
        <v>47</v>
      </c>
      <c r="I48" s="34">
        <v>20</v>
      </c>
      <c r="J48" s="34"/>
      <c r="K48" s="17">
        <f t="shared" si="9"/>
        <v>0</v>
      </c>
      <c r="L48" s="32">
        <f t="shared" si="1"/>
        <v>681</v>
      </c>
      <c r="M48" s="32">
        <f t="shared" si="2"/>
        <v>35</v>
      </c>
      <c r="N48" s="32">
        <f t="shared" si="3"/>
        <v>0</v>
      </c>
      <c r="O48" s="26">
        <f t="shared" si="4"/>
        <v>0</v>
      </c>
      <c r="P48" s="26">
        <f t="shared" si="10"/>
        <v>0</v>
      </c>
    </row>
    <row r="49" spans="2:16" s="9" customFormat="1" x14ac:dyDescent="0.4">
      <c r="B49" s="33"/>
      <c r="C49" s="11" t="s">
        <v>63</v>
      </c>
      <c r="D49">
        <v>740</v>
      </c>
      <c r="E49" s="34">
        <v>14</v>
      </c>
      <c r="F49" s="34">
        <v>0</v>
      </c>
      <c r="G49" s="3">
        <f t="shared" si="6"/>
        <v>0</v>
      </c>
      <c r="H49">
        <v>39</v>
      </c>
      <c r="I49" s="34">
        <v>20</v>
      </c>
      <c r="J49" s="34"/>
      <c r="K49" s="17">
        <f t="shared" si="9"/>
        <v>0</v>
      </c>
      <c r="L49" s="32">
        <f t="shared" si="1"/>
        <v>779</v>
      </c>
      <c r="M49" s="32">
        <f t="shared" si="2"/>
        <v>34</v>
      </c>
      <c r="N49" s="32">
        <f t="shared" si="3"/>
        <v>0</v>
      </c>
      <c r="O49" s="26">
        <f t="shared" si="4"/>
        <v>0</v>
      </c>
      <c r="P49" s="26">
        <f t="shared" si="10"/>
        <v>0</v>
      </c>
    </row>
    <row r="50" spans="2:16" s="9" customFormat="1" x14ac:dyDescent="0.4">
      <c r="B50" s="33"/>
      <c r="C50" s="11" t="s">
        <v>64</v>
      </c>
      <c r="D50">
        <v>610</v>
      </c>
      <c r="E50" s="34">
        <v>15</v>
      </c>
      <c r="F50" s="34">
        <v>1</v>
      </c>
      <c r="G50" s="3">
        <f t="shared" si="6"/>
        <v>6.6666666666666666E-2</v>
      </c>
      <c r="H50">
        <v>47</v>
      </c>
      <c r="I50" s="34">
        <v>26</v>
      </c>
      <c r="J50" s="34"/>
      <c r="K50" s="17">
        <f t="shared" si="9"/>
        <v>0</v>
      </c>
      <c r="L50" s="32">
        <f t="shared" si="1"/>
        <v>657</v>
      </c>
      <c r="M50" s="32">
        <f t="shared" si="2"/>
        <v>41</v>
      </c>
      <c r="N50" s="32">
        <f t="shared" si="3"/>
        <v>1</v>
      </c>
      <c r="O50" s="26">
        <f t="shared" si="4"/>
        <v>6.6666666666666666E-2</v>
      </c>
      <c r="P50" s="26">
        <f t="shared" si="10"/>
        <v>0</v>
      </c>
    </row>
    <row r="51" spans="2:16" s="9" customFormat="1" x14ac:dyDescent="0.4">
      <c r="B51" s="33"/>
      <c r="C51" s="11" t="s">
        <v>65</v>
      </c>
      <c r="D51" s="9">
        <v>569</v>
      </c>
      <c r="E51" s="34">
        <v>15</v>
      </c>
      <c r="F51" s="34">
        <v>0</v>
      </c>
      <c r="G51" s="3">
        <f t="shared" si="6"/>
        <v>0</v>
      </c>
      <c r="H51" s="33">
        <v>39</v>
      </c>
      <c r="I51" s="34">
        <v>19</v>
      </c>
      <c r="J51" s="34"/>
      <c r="K51" s="17">
        <f t="shared" si="9"/>
        <v>0</v>
      </c>
      <c r="L51" s="32">
        <f t="shared" si="1"/>
        <v>608</v>
      </c>
      <c r="M51" s="32">
        <f t="shared" si="2"/>
        <v>34</v>
      </c>
      <c r="N51" s="32">
        <f t="shared" si="3"/>
        <v>0</v>
      </c>
      <c r="O51" s="26">
        <f t="shared" si="4"/>
        <v>0</v>
      </c>
      <c r="P51" s="26">
        <f t="shared" si="10"/>
        <v>0</v>
      </c>
    </row>
    <row r="52" spans="2:16" s="9" customFormat="1" x14ac:dyDescent="0.4">
      <c r="B52" s="33"/>
      <c r="C52" s="11" t="s">
        <v>66</v>
      </c>
      <c r="D52" s="9">
        <v>660</v>
      </c>
      <c r="E52" s="34">
        <v>15</v>
      </c>
      <c r="F52" s="34">
        <v>0</v>
      </c>
      <c r="G52" s="3">
        <f t="shared" si="6"/>
        <v>0</v>
      </c>
      <c r="H52" s="33">
        <v>36</v>
      </c>
      <c r="I52" s="34">
        <v>26</v>
      </c>
      <c r="J52" s="34"/>
      <c r="K52" s="17">
        <f t="shared" si="9"/>
        <v>0</v>
      </c>
      <c r="L52" s="32">
        <f t="shared" si="1"/>
        <v>696</v>
      </c>
      <c r="M52" s="32">
        <f t="shared" si="2"/>
        <v>41</v>
      </c>
      <c r="N52" s="32">
        <f t="shared" si="3"/>
        <v>0</v>
      </c>
      <c r="O52" s="26">
        <f t="shared" si="4"/>
        <v>0</v>
      </c>
      <c r="P52" s="26">
        <f t="shared" si="10"/>
        <v>0</v>
      </c>
    </row>
    <row r="53" spans="2:16" s="9" customFormat="1" x14ac:dyDescent="0.4">
      <c r="B53" s="33"/>
      <c r="C53" s="11" t="s">
        <v>67</v>
      </c>
      <c r="D53" s="9">
        <v>751</v>
      </c>
      <c r="E53" s="34">
        <v>15</v>
      </c>
      <c r="F53" s="34">
        <v>1</v>
      </c>
      <c r="G53" s="3">
        <f t="shared" si="6"/>
        <v>6.6666666666666666E-2</v>
      </c>
      <c r="H53" s="33">
        <v>46</v>
      </c>
      <c r="I53" s="34">
        <v>30</v>
      </c>
      <c r="J53" s="34"/>
      <c r="K53" s="17">
        <f t="shared" si="9"/>
        <v>0</v>
      </c>
      <c r="L53" s="32">
        <f t="shared" si="1"/>
        <v>797</v>
      </c>
      <c r="M53" s="32">
        <f t="shared" si="2"/>
        <v>45</v>
      </c>
      <c r="N53" s="32">
        <f t="shared" si="3"/>
        <v>1</v>
      </c>
      <c r="O53" s="26">
        <f t="shared" si="4"/>
        <v>6.6666666666666666E-2</v>
      </c>
      <c r="P53" s="26">
        <f t="shared" si="10"/>
        <v>0</v>
      </c>
    </row>
    <row r="54" spans="2:16" s="9" customFormat="1" x14ac:dyDescent="0.4">
      <c r="B54" s="33"/>
      <c r="C54" s="11" t="s">
        <v>68</v>
      </c>
      <c r="D54" s="9">
        <v>699</v>
      </c>
      <c r="E54" s="9">
        <v>15</v>
      </c>
      <c r="F54" s="34">
        <v>0</v>
      </c>
      <c r="G54" s="3">
        <f t="shared" si="6"/>
        <v>0</v>
      </c>
      <c r="H54" s="40">
        <v>34</v>
      </c>
      <c r="I54" s="9">
        <v>16</v>
      </c>
      <c r="J54" s="34"/>
      <c r="K54" s="17">
        <f t="shared" si="9"/>
        <v>0</v>
      </c>
      <c r="L54" s="32">
        <f t="shared" si="1"/>
        <v>733</v>
      </c>
      <c r="M54" s="32">
        <f t="shared" si="2"/>
        <v>31</v>
      </c>
      <c r="N54" s="32">
        <f t="shared" si="3"/>
        <v>0</v>
      </c>
      <c r="O54" s="26">
        <f t="shared" si="4"/>
        <v>0</v>
      </c>
      <c r="P54" s="26">
        <f t="shared" si="10"/>
        <v>0</v>
      </c>
    </row>
    <row r="55" spans="2:16" s="9" customFormat="1" x14ac:dyDescent="0.4">
      <c r="B55" s="33"/>
      <c r="C55" s="11" t="s">
        <v>69</v>
      </c>
      <c r="D55" s="9">
        <v>711</v>
      </c>
      <c r="E55" s="9">
        <v>15</v>
      </c>
      <c r="F55" s="34">
        <v>2</v>
      </c>
      <c r="G55" s="3">
        <f t="shared" si="6"/>
        <v>0.13333333333333333</v>
      </c>
      <c r="H55" s="40">
        <v>31</v>
      </c>
      <c r="I55" s="9">
        <v>15</v>
      </c>
      <c r="J55" s="34"/>
      <c r="K55" s="17">
        <f t="shared" si="9"/>
        <v>0</v>
      </c>
      <c r="L55" s="32">
        <f t="shared" si="1"/>
        <v>742</v>
      </c>
      <c r="M55" s="32">
        <f t="shared" si="2"/>
        <v>30</v>
      </c>
      <c r="N55" s="32">
        <f t="shared" si="3"/>
        <v>2</v>
      </c>
      <c r="O55" s="26">
        <f t="shared" si="4"/>
        <v>0.13333333333333333</v>
      </c>
      <c r="P55" s="26">
        <f t="shared" si="10"/>
        <v>0</v>
      </c>
    </row>
    <row r="56" spans="2:16" s="9" customFormat="1" x14ac:dyDescent="0.4">
      <c r="B56" s="33"/>
      <c r="C56" s="11" t="s">
        <v>70</v>
      </c>
      <c r="D56" s="9">
        <v>585</v>
      </c>
      <c r="E56" s="34">
        <v>15</v>
      </c>
      <c r="F56" s="34">
        <v>1</v>
      </c>
      <c r="G56" s="3">
        <f t="shared" si="6"/>
        <v>6.6666666666666666E-2</v>
      </c>
      <c r="H56" s="40">
        <v>25</v>
      </c>
      <c r="I56" s="34">
        <v>5</v>
      </c>
      <c r="J56" s="34"/>
      <c r="K56" s="17">
        <f t="shared" si="9"/>
        <v>0</v>
      </c>
      <c r="L56" s="32">
        <f t="shared" si="1"/>
        <v>610</v>
      </c>
      <c r="M56" s="32">
        <f t="shared" si="2"/>
        <v>20</v>
      </c>
      <c r="N56" s="32">
        <f t="shared" si="3"/>
        <v>1</v>
      </c>
      <c r="O56" s="26">
        <f t="shared" si="4"/>
        <v>6.6666666666666666E-2</v>
      </c>
      <c r="P56" s="26">
        <f t="shared" si="10"/>
        <v>0</v>
      </c>
    </row>
    <row r="57" spans="2:16" s="9" customFormat="1" x14ac:dyDescent="0.4">
      <c r="B57" s="33"/>
      <c r="C57" s="11" t="s">
        <v>71</v>
      </c>
      <c r="D57" s="9">
        <v>908</v>
      </c>
      <c r="E57">
        <v>15</v>
      </c>
      <c r="F57" s="34">
        <v>2</v>
      </c>
      <c r="G57" s="3">
        <f t="shared" si="6"/>
        <v>0.13333333333333333</v>
      </c>
      <c r="H57" s="40">
        <v>27</v>
      </c>
      <c r="I57" s="34">
        <v>19</v>
      </c>
      <c r="J57" s="34"/>
      <c r="K57" s="17">
        <f t="shared" si="9"/>
        <v>0</v>
      </c>
      <c r="L57" s="32">
        <f t="shared" si="1"/>
        <v>935</v>
      </c>
      <c r="M57" s="32">
        <f t="shared" si="2"/>
        <v>34</v>
      </c>
      <c r="N57" s="32">
        <f t="shared" si="3"/>
        <v>2</v>
      </c>
      <c r="O57" s="26">
        <f t="shared" si="4"/>
        <v>0.13333333333333333</v>
      </c>
      <c r="P57" s="26">
        <f t="shared" si="10"/>
        <v>0</v>
      </c>
    </row>
    <row r="58" spans="2:16" s="9" customFormat="1" x14ac:dyDescent="0.4">
      <c r="B58" s="33"/>
      <c r="C58" s="11" t="s">
        <v>72</v>
      </c>
      <c r="D58" s="9">
        <v>930</v>
      </c>
      <c r="E58">
        <v>14</v>
      </c>
      <c r="F58" s="34">
        <v>1</v>
      </c>
      <c r="G58" s="3">
        <f t="shared" si="6"/>
        <v>7.1428571428571425E-2</v>
      </c>
      <c r="H58" s="40">
        <v>22</v>
      </c>
      <c r="I58" s="34">
        <v>16</v>
      </c>
      <c r="J58" s="34"/>
      <c r="K58" s="17">
        <f t="shared" si="9"/>
        <v>0</v>
      </c>
      <c r="L58" s="32">
        <f t="shared" si="1"/>
        <v>952</v>
      </c>
      <c r="M58" s="32">
        <f t="shared" si="2"/>
        <v>30</v>
      </c>
      <c r="N58" s="32">
        <f t="shared" si="3"/>
        <v>1</v>
      </c>
      <c r="O58" s="26">
        <f t="shared" si="4"/>
        <v>7.1428571428571425E-2</v>
      </c>
      <c r="P58" s="26">
        <f t="shared" si="10"/>
        <v>0</v>
      </c>
    </row>
    <row r="59" spans="2:16" s="9" customFormat="1" x14ac:dyDescent="0.4">
      <c r="B59" s="33"/>
      <c r="C59" s="11" t="s">
        <v>10</v>
      </c>
      <c r="D59" s="9">
        <v>729</v>
      </c>
      <c r="E59" s="34">
        <v>14</v>
      </c>
      <c r="F59" s="34">
        <v>0</v>
      </c>
      <c r="G59" s="3">
        <f t="shared" si="6"/>
        <v>0</v>
      </c>
      <c r="H59" s="40">
        <v>34</v>
      </c>
      <c r="I59" s="34">
        <v>5</v>
      </c>
      <c r="J59" s="34"/>
      <c r="K59" s="17">
        <f t="shared" si="9"/>
        <v>0</v>
      </c>
      <c r="L59" s="32">
        <f t="shared" si="1"/>
        <v>763</v>
      </c>
      <c r="M59" s="32">
        <f t="shared" si="2"/>
        <v>19</v>
      </c>
      <c r="N59" s="32">
        <f t="shared" si="3"/>
        <v>0</v>
      </c>
      <c r="O59" s="26">
        <f t="shared" si="4"/>
        <v>0</v>
      </c>
      <c r="P59" s="26">
        <f t="shared" si="10"/>
        <v>0</v>
      </c>
    </row>
    <row r="60" spans="2:16" s="9" customFormat="1" x14ac:dyDescent="0.4">
      <c r="B60" s="33"/>
      <c r="C60" s="11" t="s">
        <v>11</v>
      </c>
      <c r="D60" s="9">
        <v>742</v>
      </c>
      <c r="E60" s="34">
        <v>12</v>
      </c>
      <c r="F60" s="34">
        <v>1</v>
      </c>
      <c r="G60" s="3">
        <f t="shared" si="6"/>
        <v>8.3333333333333329E-2</v>
      </c>
      <c r="H60" s="40">
        <v>14</v>
      </c>
      <c r="I60" s="34">
        <v>12</v>
      </c>
      <c r="J60" s="34"/>
      <c r="K60" s="17">
        <f t="shared" si="9"/>
        <v>0</v>
      </c>
      <c r="L60" s="32">
        <f t="shared" si="1"/>
        <v>756</v>
      </c>
      <c r="M60" s="32">
        <f t="shared" si="2"/>
        <v>24</v>
      </c>
      <c r="N60" s="32">
        <f t="shared" si="3"/>
        <v>1</v>
      </c>
      <c r="O60" s="26">
        <f t="shared" si="4"/>
        <v>8.3333333333333329E-2</v>
      </c>
      <c r="P60" s="26">
        <f t="shared" si="10"/>
        <v>0</v>
      </c>
    </row>
    <row r="61" spans="2:16" s="9" customFormat="1" x14ac:dyDescent="0.4">
      <c r="B61" s="33"/>
      <c r="C61" s="11" t="s">
        <v>12</v>
      </c>
      <c r="D61" s="9">
        <v>729</v>
      </c>
      <c r="E61" s="34">
        <v>24</v>
      </c>
      <c r="F61" s="34">
        <v>0</v>
      </c>
      <c r="G61" s="3">
        <f t="shared" si="6"/>
        <v>0</v>
      </c>
      <c r="H61" s="41">
        <v>25</v>
      </c>
      <c r="I61" s="34">
        <v>16</v>
      </c>
      <c r="J61" s="34"/>
      <c r="K61" s="17">
        <f t="shared" si="9"/>
        <v>0</v>
      </c>
      <c r="L61" s="32">
        <f t="shared" si="1"/>
        <v>754</v>
      </c>
      <c r="M61" s="32">
        <f t="shared" si="2"/>
        <v>40</v>
      </c>
      <c r="N61" s="32">
        <f t="shared" si="3"/>
        <v>0</v>
      </c>
      <c r="O61" s="26">
        <f t="shared" si="4"/>
        <v>0</v>
      </c>
      <c r="P61" s="26">
        <f t="shared" si="10"/>
        <v>0</v>
      </c>
    </row>
    <row r="62" spans="2:16" s="9" customFormat="1" x14ac:dyDescent="0.4">
      <c r="B62" s="33"/>
      <c r="C62" s="11" t="s">
        <v>13</v>
      </c>
      <c r="E62" s="34"/>
      <c r="F62" s="34"/>
      <c r="G62" s="3" t="e">
        <f t="shared" si="6"/>
        <v>#DIV/0!</v>
      </c>
      <c r="H62" s="33"/>
      <c r="I62" s="34"/>
      <c r="J62" s="34"/>
      <c r="K62" s="17" t="e">
        <f t="shared" si="9"/>
        <v>#DIV/0!</v>
      </c>
      <c r="L62" s="32">
        <f t="shared" si="1"/>
        <v>0</v>
      </c>
      <c r="M62" s="32">
        <f t="shared" si="2"/>
        <v>0</v>
      </c>
      <c r="N62" s="32">
        <f t="shared" si="3"/>
        <v>0</v>
      </c>
      <c r="O62" s="26" t="e">
        <f t="shared" si="4"/>
        <v>#DIV/0!</v>
      </c>
      <c r="P62" s="26" t="e">
        <f t="shared" si="10"/>
        <v>#DIV/0!</v>
      </c>
    </row>
    <row r="63" spans="2:16" s="9" customFormat="1" x14ac:dyDescent="0.4">
      <c r="B63" s="33"/>
      <c r="C63" s="11" t="s">
        <v>14</v>
      </c>
      <c r="E63" s="34"/>
      <c r="F63" s="34"/>
      <c r="G63" s="3" t="e">
        <f t="shared" si="6"/>
        <v>#DIV/0!</v>
      </c>
      <c r="H63" s="33"/>
      <c r="I63" s="34"/>
      <c r="J63" s="34"/>
      <c r="K63" s="17" t="e">
        <f t="shared" si="9"/>
        <v>#DIV/0!</v>
      </c>
      <c r="L63" s="32">
        <f t="shared" si="1"/>
        <v>0</v>
      </c>
      <c r="M63" s="32">
        <f t="shared" si="2"/>
        <v>0</v>
      </c>
      <c r="N63" s="32">
        <f t="shared" si="3"/>
        <v>0</v>
      </c>
      <c r="O63" s="26" t="e">
        <f t="shared" si="4"/>
        <v>#DIV/0!</v>
      </c>
      <c r="P63" s="26" t="e">
        <f t="shared" si="10"/>
        <v>#DIV/0!</v>
      </c>
    </row>
    <row r="64" spans="2:16" s="9" customFormat="1" x14ac:dyDescent="0.4">
      <c r="B64" s="33"/>
      <c r="C64" s="11" t="s">
        <v>15</v>
      </c>
      <c r="E64" s="34"/>
      <c r="F64" s="34"/>
      <c r="G64" s="3" t="e">
        <f t="shared" si="6"/>
        <v>#DIV/0!</v>
      </c>
      <c r="H64" s="33"/>
      <c r="I64" s="34"/>
      <c r="J64" s="34"/>
      <c r="K64" s="17" t="e">
        <f t="shared" si="9"/>
        <v>#DIV/0!</v>
      </c>
      <c r="L64" s="32">
        <f t="shared" si="1"/>
        <v>0</v>
      </c>
      <c r="M64" s="32">
        <f t="shared" si="2"/>
        <v>0</v>
      </c>
      <c r="N64" s="32">
        <f t="shared" si="3"/>
        <v>0</v>
      </c>
      <c r="O64" s="26" t="e">
        <f t="shared" si="4"/>
        <v>#DIV/0!</v>
      </c>
      <c r="P64" s="26" t="e">
        <f t="shared" si="10"/>
        <v>#DIV/0!</v>
      </c>
    </row>
    <row r="65" spans="2:16" s="9" customFormat="1" x14ac:dyDescent="0.4">
      <c r="B65" s="33"/>
      <c r="C65" s="11" t="s">
        <v>73</v>
      </c>
      <c r="E65" s="34"/>
      <c r="F65" s="34"/>
      <c r="G65" s="3" t="e">
        <f t="shared" si="6"/>
        <v>#DIV/0!</v>
      </c>
      <c r="H65" s="33"/>
      <c r="I65" s="34"/>
      <c r="J65" s="34"/>
      <c r="K65" s="17" t="e">
        <f t="shared" si="9"/>
        <v>#DIV/0!</v>
      </c>
      <c r="L65" s="32">
        <f t="shared" si="1"/>
        <v>0</v>
      </c>
      <c r="M65" s="32">
        <f t="shared" si="2"/>
        <v>0</v>
      </c>
      <c r="N65" s="32">
        <f t="shared" si="3"/>
        <v>0</v>
      </c>
      <c r="O65" s="26" t="e">
        <f t="shared" si="4"/>
        <v>#DIV/0!</v>
      </c>
      <c r="P65" s="26" t="e">
        <f t="shared" si="10"/>
        <v>#DIV/0!</v>
      </c>
    </row>
    <row r="66" spans="2:16" s="9" customFormat="1" x14ac:dyDescent="0.4">
      <c r="B66" s="33"/>
      <c r="C66" s="11" t="s">
        <v>74</v>
      </c>
      <c r="E66" s="34"/>
      <c r="F66" s="34"/>
      <c r="G66" s="3" t="e">
        <f t="shared" si="6"/>
        <v>#DIV/0!</v>
      </c>
      <c r="H66" s="33"/>
      <c r="I66" s="34"/>
      <c r="J66" s="34"/>
      <c r="K66" s="17" t="e">
        <f t="shared" si="9"/>
        <v>#DIV/0!</v>
      </c>
      <c r="L66" s="32">
        <f t="shared" si="1"/>
        <v>0</v>
      </c>
      <c r="M66" s="32">
        <f t="shared" si="2"/>
        <v>0</v>
      </c>
      <c r="N66" s="32">
        <f t="shared" si="3"/>
        <v>0</v>
      </c>
      <c r="O66" s="26" t="e">
        <f t="shared" si="4"/>
        <v>#DIV/0!</v>
      </c>
      <c r="P66" s="26" t="e">
        <f t="shared" si="10"/>
        <v>#DIV/0!</v>
      </c>
    </row>
    <row r="67" spans="2:16" s="9" customFormat="1" x14ac:dyDescent="0.4">
      <c r="B67" s="33"/>
      <c r="C67" s="11" t="s">
        <v>75</v>
      </c>
      <c r="E67" s="34"/>
      <c r="F67" s="34"/>
      <c r="G67" s="3" t="e">
        <f t="shared" si="6"/>
        <v>#DIV/0!</v>
      </c>
      <c r="H67" s="33"/>
      <c r="I67" s="34"/>
      <c r="J67" s="34"/>
      <c r="K67" s="17" t="e">
        <f t="shared" si="9"/>
        <v>#DIV/0!</v>
      </c>
      <c r="L67" s="32">
        <f t="shared" si="1"/>
        <v>0</v>
      </c>
      <c r="M67" s="32">
        <f t="shared" si="2"/>
        <v>0</v>
      </c>
      <c r="N67" s="32">
        <f t="shared" si="3"/>
        <v>0</v>
      </c>
      <c r="O67" s="26" t="e">
        <f t="shared" si="4"/>
        <v>#DIV/0!</v>
      </c>
      <c r="P67" s="26" t="e">
        <f t="shared" si="10"/>
        <v>#DIV/0!</v>
      </c>
    </row>
    <row r="68" spans="2:16" x14ac:dyDescent="0.4">
      <c r="B68" s="14"/>
      <c r="E68" s="1"/>
      <c r="F68" s="1"/>
      <c r="G68" s="10"/>
      <c r="H68" s="15"/>
      <c r="I68" s="1"/>
      <c r="J68" s="1"/>
      <c r="K68" s="10"/>
      <c r="O68" s="16"/>
      <c r="P68" s="16"/>
    </row>
    <row r="69" spans="2:16" x14ac:dyDescent="0.4">
      <c r="B69" s="14"/>
      <c r="E69" s="1"/>
      <c r="F69" s="1"/>
      <c r="G69" s="10"/>
      <c r="H69" s="15"/>
      <c r="I69" s="1"/>
      <c r="J69" s="1"/>
      <c r="K69" s="10"/>
      <c r="O69" s="16"/>
      <c r="P69" s="16"/>
    </row>
    <row r="70" spans="2:16" s="9" customFormat="1" x14ac:dyDescent="0.4">
      <c r="B70" s="53" t="s">
        <v>9</v>
      </c>
      <c r="C70" s="53"/>
      <c r="D70" s="54" t="s">
        <v>42</v>
      </c>
      <c r="E70" s="54"/>
      <c r="F70" s="54"/>
      <c r="G70" s="54"/>
      <c r="H70" s="54" t="s">
        <v>43</v>
      </c>
      <c r="I70" s="54"/>
      <c r="J70" s="54"/>
      <c r="K70" s="54"/>
      <c r="L70" s="50" t="s">
        <v>44</v>
      </c>
      <c r="M70" s="51"/>
      <c r="N70" s="51"/>
      <c r="O70" s="51"/>
      <c r="P70" s="52"/>
    </row>
    <row r="71" spans="2:16" ht="144" x14ac:dyDescent="0.4">
      <c r="B71" s="11"/>
      <c r="C71" s="11"/>
      <c r="D71" s="21" t="s">
        <v>45</v>
      </c>
      <c r="E71" s="27" t="s">
        <v>46</v>
      </c>
      <c r="F71" s="27" t="s">
        <v>47</v>
      </c>
      <c r="G71" s="27" t="s">
        <v>48</v>
      </c>
      <c r="H71" s="28" t="s">
        <v>49</v>
      </c>
      <c r="I71" s="28" t="s">
        <v>50</v>
      </c>
      <c r="J71" s="28" t="s">
        <v>51</v>
      </c>
      <c r="K71" s="28" t="s">
        <v>52</v>
      </c>
      <c r="L71" s="29" t="s">
        <v>53</v>
      </c>
      <c r="M71" s="29" t="s">
        <v>24</v>
      </c>
      <c r="N71" s="29" t="s">
        <v>23</v>
      </c>
      <c r="O71" s="30" t="s">
        <v>48</v>
      </c>
      <c r="P71" s="30" t="s">
        <v>52</v>
      </c>
    </row>
    <row r="72" spans="2:16" x14ac:dyDescent="0.4">
      <c r="B72" s="48">
        <v>2024</v>
      </c>
      <c r="C72" s="12" t="s">
        <v>10</v>
      </c>
      <c r="D72" s="7"/>
      <c r="E72" s="25">
        <v>12</v>
      </c>
      <c r="F72" s="25">
        <v>0</v>
      </c>
      <c r="G72" s="3">
        <f>F72/E72</f>
        <v>0</v>
      </c>
      <c r="H72" s="5"/>
      <c r="I72" s="5"/>
      <c r="J72" s="5"/>
      <c r="K72" s="5"/>
      <c r="L72" s="22">
        <f>D72+H72</f>
        <v>0</v>
      </c>
      <c r="M72" s="22">
        <f>E72+I72</f>
        <v>12</v>
      </c>
      <c r="N72" s="22">
        <f>F72+J72</f>
        <v>0</v>
      </c>
      <c r="O72" s="26">
        <f>G72</f>
        <v>0</v>
      </c>
      <c r="P72" s="26"/>
    </row>
    <row r="73" spans="2:16" x14ac:dyDescent="0.4">
      <c r="B73" s="48"/>
      <c r="C73" s="12" t="s">
        <v>11</v>
      </c>
      <c r="D73" s="7"/>
      <c r="E73" s="25">
        <v>11</v>
      </c>
      <c r="F73" s="25">
        <v>0</v>
      </c>
      <c r="G73" s="3">
        <f t="shared" ref="G73:G135" si="11">F73/E73</f>
        <v>0</v>
      </c>
      <c r="H73" s="5"/>
      <c r="I73" s="5"/>
      <c r="J73" s="5"/>
      <c r="K73" s="5"/>
      <c r="L73" s="22">
        <f t="shared" ref="L73:L111" si="12">D73+H73</f>
        <v>0</v>
      </c>
      <c r="M73" s="22">
        <f t="shared" ref="M73:M135" si="13">E73+I73</f>
        <v>11</v>
      </c>
      <c r="N73" s="22">
        <f t="shared" ref="N73:N111" si="14">F73+J73</f>
        <v>0</v>
      </c>
      <c r="O73" s="26">
        <f t="shared" ref="O73:O135" si="15">G73</f>
        <v>0</v>
      </c>
      <c r="P73" s="26"/>
    </row>
    <row r="74" spans="2:16" x14ac:dyDescent="0.4">
      <c r="B74" s="48"/>
      <c r="C74" s="12" t="s">
        <v>12</v>
      </c>
      <c r="D74" s="7"/>
      <c r="E74" s="25">
        <v>10</v>
      </c>
      <c r="F74" s="25">
        <v>0</v>
      </c>
      <c r="G74" s="3">
        <f t="shared" si="11"/>
        <v>0</v>
      </c>
      <c r="H74" s="5"/>
      <c r="I74" s="5"/>
      <c r="J74" s="5"/>
      <c r="K74" s="5"/>
      <c r="L74" s="22">
        <f t="shared" si="12"/>
        <v>0</v>
      </c>
      <c r="M74" s="22">
        <f t="shared" si="13"/>
        <v>10</v>
      </c>
      <c r="N74" s="22">
        <f t="shared" si="14"/>
        <v>0</v>
      </c>
      <c r="O74" s="26">
        <f t="shared" si="15"/>
        <v>0</v>
      </c>
      <c r="P74" s="26"/>
    </row>
    <row r="75" spans="2:16" x14ac:dyDescent="0.4">
      <c r="B75" s="48"/>
      <c r="C75" s="12" t="s">
        <v>13</v>
      </c>
      <c r="D75" s="7"/>
      <c r="E75" s="25">
        <v>1</v>
      </c>
      <c r="F75" s="25">
        <v>0</v>
      </c>
      <c r="G75" s="3">
        <f t="shared" si="11"/>
        <v>0</v>
      </c>
      <c r="H75" s="5"/>
      <c r="I75" s="5"/>
      <c r="J75" s="5"/>
      <c r="K75" s="5"/>
      <c r="L75" s="22">
        <f t="shared" si="12"/>
        <v>0</v>
      </c>
      <c r="M75" s="22">
        <f t="shared" si="13"/>
        <v>1</v>
      </c>
      <c r="N75" s="22">
        <f t="shared" si="14"/>
        <v>0</v>
      </c>
      <c r="O75" s="26">
        <f t="shared" si="15"/>
        <v>0</v>
      </c>
      <c r="P75" s="26"/>
    </row>
    <row r="76" spans="2:16" x14ac:dyDescent="0.4">
      <c r="B76" s="48"/>
      <c r="C76" s="12" t="s">
        <v>14</v>
      </c>
      <c r="D76" s="7"/>
      <c r="E76" s="25">
        <v>14</v>
      </c>
      <c r="F76" s="25">
        <v>0</v>
      </c>
      <c r="G76" s="3">
        <f t="shared" si="11"/>
        <v>0</v>
      </c>
      <c r="H76" s="5"/>
      <c r="I76" s="5"/>
      <c r="J76" s="5"/>
      <c r="K76" s="5"/>
      <c r="L76" s="22">
        <f t="shared" si="12"/>
        <v>0</v>
      </c>
      <c r="M76" s="22">
        <f t="shared" si="13"/>
        <v>14</v>
      </c>
      <c r="N76" s="22">
        <f t="shared" si="14"/>
        <v>0</v>
      </c>
      <c r="O76" s="26">
        <f t="shared" si="15"/>
        <v>0</v>
      </c>
      <c r="P76" s="26"/>
    </row>
    <row r="77" spans="2:16" x14ac:dyDescent="0.4">
      <c r="B77" s="48"/>
      <c r="C77" s="12" t="s">
        <v>15</v>
      </c>
      <c r="D77" s="7"/>
      <c r="E77" s="25">
        <v>0</v>
      </c>
      <c r="F77" s="25">
        <v>0</v>
      </c>
      <c r="G77" s="3" t="e">
        <f t="shared" si="11"/>
        <v>#DIV/0!</v>
      </c>
      <c r="H77" s="5"/>
      <c r="I77" s="5"/>
      <c r="J77" s="5"/>
      <c r="K77" s="5"/>
      <c r="L77" s="22">
        <f t="shared" si="12"/>
        <v>0</v>
      </c>
      <c r="M77" s="22">
        <f t="shared" si="13"/>
        <v>0</v>
      </c>
      <c r="N77" s="22">
        <f t="shared" si="14"/>
        <v>0</v>
      </c>
      <c r="O77" s="26" t="e">
        <f t="shared" si="15"/>
        <v>#DIV/0!</v>
      </c>
      <c r="P77" s="26"/>
    </row>
    <row r="78" spans="2:16" x14ac:dyDescent="0.4">
      <c r="B78" s="48">
        <v>2025</v>
      </c>
      <c r="C78" s="11" t="s">
        <v>16</v>
      </c>
      <c r="D78" s="11">
        <v>54</v>
      </c>
      <c r="E78" s="2">
        <v>2</v>
      </c>
      <c r="F78" s="2">
        <v>0</v>
      </c>
      <c r="G78" s="3">
        <f t="shared" si="11"/>
        <v>0</v>
      </c>
      <c r="H78" s="6"/>
      <c r="I78" s="6"/>
      <c r="J78" s="6"/>
      <c r="K78" s="19"/>
      <c r="L78" s="22">
        <f t="shared" si="12"/>
        <v>54</v>
      </c>
      <c r="M78" s="22">
        <f t="shared" si="13"/>
        <v>2</v>
      </c>
      <c r="N78" s="22">
        <f t="shared" si="14"/>
        <v>0</v>
      </c>
      <c r="O78" s="26">
        <f t="shared" si="15"/>
        <v>0</v>
      </c>
      <c r="P78" s="26"/>
    </row>
    <row r="79" spans="2:16" x14ac:dyDescent="0.4">
      <c r="B79" s="48"/>
      <c r="C79" s="11" t="s">
        <v>17</v>
      </c>
      <c r="D79" s="11">
        <v>52</v>
      </c>
      <c r="E79" s="2">
        <v>11</v>
      </c>
      <c r="F79" s="2">
        <v>0</v>
      </c>
      <c r="G79" s="3">
        <f t="shared" si="11"/>
        <v>0</v>
      </c>
      <c r="H79" s="6"/>
      <c r="I79" s="6"/>
      <c r="J79" s="6"/>
      <c r="K79" s="19"/>
      <c r="L79" s="22">
        <f t="shared" si="12"/>
        <v>52</v>
      </c>
      <c r="M79" s="22">
        <f t="shared" si="13"/>
        <v>11</v>
      </c>
      <c r="N79" s="22">
        <f t="shared" si="14"/>
        <v>0</v>
      </c>
      <c r="O79" s="26">
        <f t="shared" si="15"/>
        <v>0</v>
      </c>
      <c r="P79" s="26"/>
    </row>
    <row r="80" spans="2:16" x14ac:dyDescent="0.4">
      <c r="B80" s="48"/>
      <c r="C80" s="11" t="s">
        <v>18</v>
      </c>
      <c r="D80" s="11">
        <v>48</v>
      </c>
      <c r="E80" s="2">
        <v>6</v>
      </c>
      <c r="F80" s="2">
        <v>0</v>
      </c>
      <c r="G80" s="3">
        <f t="shared" si="11"/>
        <v>0</v>
      </c>
      <c r="H80" s="6"/>
      <c r="I80" s="6"/>
      <c r="J80" s="6"/>
      <c r="K80" s="19"/>
      <c r="L80" s="22">
        <f t="shared" si="12"/>
        <v>48</v>
      </c>
      <c r="M80" s="22">
        <f t="shared" si="13"/>
        <v>6</v>
      </c>
      <c r="N80" s="22">
        <f t="shared" si="14"/>
        <v>0</v>
      </c>
      <c r="O80" s="26">
        <f t="shared" si="15"/>
        <v>0</v>
      </c>
      <c r="P80" s="26"/>
    </row>
    <row r="81" spans="2:16" x14ac:dyDescent="0.4">
      <c r="B81" s="48"/>
      <c r="C81" s="11" t="s">
        <v>19</v>
      </c>
      <c r="D81" s="11">
        <v>48</v>
      </c>
      <c r="E81" s="2">
        <v>0</v>
      </c>
      <c r="F81" s="2">
        <v>0</v>
      </c>
      <c r="G81" s="3" t="e">
        <f t="shared" si="11"/>
        <v>#DIV/0!</v>
      </c>
      <c r="H81" s="6"/>
      <c r="I81" s="6"/>
      <c r="J81" s="6"/>
      <c r="K81" s="19"/>
      <c r="L81" s="22">
        <f t="shared" si="12"/>
        <v>48</v>
      </c>
      <c r="M81" s="22">
        <f t="shared" si="13"/>
        <v>0</v>
      </c>
      <c r="N81" s="22">
        <f t="shared" si="14"/>
        <v>0</v>
      </c>
      <c r="O81" s="26" t="e">
        <f t="shared" si="15"/>
        <v>#DIV/0!</v>
      </c>
      <c r="P81" s="26"/>
    </row>
    <row r="82" spans="2:16" x14ac:dyDescent="0.4">
      <c r="B82" s="48"/>
      <c r="C82" s="11" t="s">
        <v>20</v>
      </c>
      <c r="D82" s="11">
        <v>125</v>
      </c>
      <c r="E82" s="2">
        <v>6</v>
      </c>
      <c r="F82" s="2">
        <v>0</v>
      </c>
      <c r="G82" s="3">
        <f t="shared" si="11"/>
        <v>0</v>
      </c>
      <c r="H82" s="6"/>
      <c r="I82" s="6"/>
      <c r="J82" s="6"/>
      <c r="K82" s="19"/>
      <c r="L82" s="22">
        <f t="shared" si="12"/>
        <v>125</v>
      </c>
      <c r="M82" s="22">
        <f t="shared" si="13"/>
        <v>6</v>
      </c>
      <c r="N82" s="22">
        <f t="shared" si="14"/>
        <v>0</v>
      </c>
      <c r="O82" s="26">
        <f t="shared" si="15"/>
        <v>0</v>
      </c>
      <c r="P82" s="26"/>
    </row>
    <row r="83" spans="2:16" x14ac:dyDescent="0.4">
      <c r="B83" s="48"/>
      <c r="C83" s="11" t="s">
        <v>21</v>
      </c>
      <c r="D83" s="11">
        <v>142</v>
      </c>
      <c r="E83" s="2">
        <v>21</v>
      </c>
      <c r="F83" s="2">
        <v>0</v>
      </c>
      <c r="G83" s="3">
        <f t="shared" si="11"/>
        <v>0</v>
      </c>
      <c r="H83" s="6"/>
      <c r="I83" s="6"/>
      <c r="J83" s="6"/>
      <c r="K83" s="19"/>
      <c r="L83" s="22">
        <f t="shared" si="12"/>
        <v>142</v>
      </c>
      <c r="M83" s="22">
        <f t="shared" si="13"/>
        <v>21</v>
      </c>
      <c r="N83" s="22">
        <f t="shared" si="14"/>
        <v>0</v>
      </c>
      <c r="O83" s="26">
        <f t="shared" si="15"/>
        <v>0</v>
      </c>
      <c r="P83" s="26"/>
    </row>
    <row r="84" spans="2:16" x14ac:dyDescent="0.4">
      <c r="B84" s="48"/>
      <c r="C84" s="11" t="s">
        <v>22</v>
      </c>
      <c r="D84" s="11">
        <v>169</v>
      </c>
      <c r="E84" s="2">
        <v>14</v>
      </c>
      <c r="F84" s="2">
        <v>1</v>
      </c>
      <c r="G84" s="3">
        <f t="shared" si="11"/>
        <v>7.1428571428571425E-2</v>
      </c>
      <c r="H84" s="6"/>
      <c r="I84" s="6"/>
      <c r="J84" s="6"/>
      <c r="K84" s="19"/>
      <c r="L84" s="22">
        <f t="shared" si="12"/>
        <v>169</v>
      </c>
      <c r="M84" s="22">
        <f t="shared" si="13"/>
        <v>14</v>
      </c>
      <c r="N84" s="22">
        <f t="shared" si="14"/>
        <v>1</v>
      </c>
      <c r="O84" s="26">
        <f t="shared" si="15"/>
        <v>7.1428571428571425E-2</v>
      </c>
      <c r="P84" s="26"/>
    </row>
    <row r="85" spans="2:16" x14ac:dyDescent="0.4">
      <c r="B85" s="48"/>
      <c r="C85" s="11" t="s">
        <v>0</v>
      </c>
      <c r="D85" s="11">
        <v>134</v>
      </c>
      <c r="E85" s="4">
        <v>17</v>
      </c>
      <c r="F85" s="4">
        <v>0</v>
      </c>
      <c r="G85" s="3">
        <f t="shared" si="11"/>
        <v>0</v>
      </c>
      <c r="H85" s="24">
        <v>20</v>
      </c>
      <c r="I85" s="4">
        <v>5</v>
      </c>
      <c r="J85" s="4">
        <v>0</v>
      </c>
      <c r="K85" s="20">
        <f t="shared" ref="K85:K102" si="16">J85/I85</f>
        <v>0</v>
      </c>
      <c r="L85" s="22">
        <f t="shared" si="12"/>
        <v>154</v>
      </c>
      <c r="M85" s="22">
        <f t="shared" si="13"/>
        <v>22</v>
      </c>
      <c r="N85" s="22">
        <f t="shared" si="14"/>
        <v>0</v>
      </c>
      <c r="O85" s="26">
        <f t="shared" si="15"/>
        <v>0</v>
      </c>
      <c r="P85" s="26">
        <f t="shared" ref="P85:P102" si="17">K85</f>
        <v>0</v>
      </c>
    </row>
    <row r="86" spans="2:16" x14ac:dyDescent="0.4">
      <c r="B86" s="48"/>
      <c r="C86" s="11" t="s">
        <v>1</v>
      </c>
      <c r="D86" s="11">
        <v>139</v>
      </c>
      <c r="E86" s="4">
        <v>26</v>
      </c>
      <c r="F86" s="4">
        <v>0</v>
      </c>
      <c r="G86" s="3">
        <f t="shared" si="11"/>
        <v>0</v>
      </c>
      <c r="H86" s="24">
        <v>27</v>
      </c>
      <c r="I86" s="4">
        <v>21</v>
      </c>
      <c r="J86" s="4">
        <v>0</v>
      </c>
      <c r="K86" s="20">
        <f t="shared" si="16"/>
        <v>0</v>
      </c>
      <c r="L86" s="22">
        <f t="shared" si="12"/>
        <v>166</v>
      </c>
      <c r="M86" s="22">
        <f t="shared" si="13"/>
        <v>47</v>
      </c>
      <c r="N86" s="22">
        <f t="shared" si="14"/>
        <v>0</v>
      </c>
      <c r="O86" s="26">
        <f t="shared" si="15"/>
        <v>0</v>
      </c>
      <c r="P86" s="26">
        <f t="shared" si="17"/>
        <v>0</v>
      </c>
    </row>
    <row r="87" spans="2:16" x14ac:dyDescent="0.4">
      <c r="B87" s="48"/>
      <c r="C87" s="11" t="s">
        <v>2</v>
      </c>
      <c r="D87" s="11">
        <v>115</v>
      </c>
      <c r="E87" s="4">
        <v>26</v>
      </c>
      <c r="F87" s="4">
        <v>0</v>
      </c>
      <c r="G87" s="3">
        <f t="shared" si="11"/>
        <v>0</v>
      </c>
      <c r="H87" s="24">
        <v>17</v>
      </c>
      <c r="I87" s="4">
        <v>14</v>
      </c>
      <c r="J87" s="4">
        <v>0</v>
      </c>
      <c r="K87" s="20">
        <f t="shared" si="16"/>
        <v>0</v>
      </c>
      <c r="L87" s="22">
        <f t="shared" si="12"/>
        <v>132</v>
      </c>
      <c r="M87" s="22">
        <f t="shared" si="13"/>
        <v>40</v>
      </c>
      <c r="N87" s="22">
        <f t="shared" si="14"/>
        <v>0</v>
      </c>
      <c r="O87" s="26">
        <f t="shared" si="15"/>
        <v>0</v>
      </c>
      <c r="P87" s="26">
        <f t="shared" si="17"/>
        <v>0</v>
      </c>
    </row>
    <row r="88" spans="2:16" x14ac:dyDescent="0.4">
      <c r="B88" s="48"/>
      <c r="C88" s="11" t="s">
        <v>3</v>
      </c>
      <c r="D88" s="11">
        <v>83</v>
      </c>
      <c r="E88" s="4">
        <v>25</v>
      </c>
      <c r="F88" s="4">
        <v>0</v>
      </c>
      <c r="G88" s="3">
        <f t="shared" si="11"/>
        <v>0</v>
      </c>
      <c r="H88" s="24">
        <v>20</v>
      </c>
      <c r="I88" s="4">
        <v>19</v>
      </c>
      <c r="J88" s="4">
        <v>0</v>
      </c>
      <c r="K88" s="20">
        <f t="shared" si="16"/>
        <v>0</v>
      </c>
      <c r="L88" s="22">
        <f t="shared" si="12"/>
        <v>103</v>
      </c>
      <c r="M88" s="22">
        <f t="shared" si="13"/>
        <v>44</v>
      </c>
      <c r="N88" s="22">
        <f t="shared" si="14"/>
        <v>0</v>
      </c>
      <c r="O88" s="26">
        <f t="shared" si="15"/>
        <v>0</v>
      </c>
      <c r="P88" s="26">
        <f t="shared" si="17"/>
        <v>0</v>
      </c>
    </row>
    <row r="89" spans="2:16" x14ac:dyDescent="0.4">
      <c r="B89" s="48"/>
      <c r="C89" s="11" t="s">
        <v>4</v>
      </c>
      <c r="D89" s="11">
        <v>229</v>
      </c>
      <c r="E89" s="4">
        <v>12</v>
      </c>
      <c r="F89" s="4">
        <v>1</v>
      </c>
      <c r="G89" s="3">
        <f t="shared" si="11"/>
        <v>8.3333333333333329E-2</v>
      </c>
      <c r="H89" s="24">
        <v>24</v>
      </c>
      <c r="I89" s="4">
        <v>11</v>
      </c>
      <c r="J89" s="4">
        <v>2</v>
      </c>
      <c r="K89" s="20">
        <f t="shared" si="16"/>
        <v>0.18181818181818182</v>
      </c>
      <c r="L89" s="22">
        <f t="shared" si="12"/>
        <v>253</v>
      </c>
      <c r="M89" s="22">
        <f t="shared" si="13"/>
        <v>23</v>
      </c>
      <c r="N89" s="22">
        <f t="shared" si="14"/>
        <v>3</v>
      </c>
      <c r="O89" s="26">
        <f t="shared" si="15"/>
        <v>8.3333333333333329E-2</v>
      </c>
      <c r="P89" s="26">
        <f t="shared" si="17"/>
        <v>0.18181818181818182</v>
      </c>
    </row>
    <row r="90" spans="2:16" x14ac:dyDescent="0.4">
      <c r="B90" s="48"/>
      <c r="C90" s="11" t="s">
        <v>5</v>
      </c>
      <c r="D90" s="11">
        <v>196</v>
      </c>
      <c r="E90" s="4">
        <v>30</v>
      </c>
      <c r="F90" s="4">
        <v>2</v>
      </c>
      <c r="G90" s="3">
        <f t="shared" si="11"/>
        <v>6.6666666666666666E-2</v>
      </c>
      <c r="H90" s="24">
        <v>34</v>
      </c>
      <c r="I90" s="4">
        <v>22</v>
      </c>
      <c r="J90" s="4">
        <v>0</v>
      </c>
      <c r="K90" s="20">
        <f t="shared" si="16"/>
        <v>0</v>
      </c>
      <c r="L90" s="22">
        <f t="shared" si="12"/>
        <v>230</v>
      </c>
      <c r="M90" s="22">
        <f t="shared" si="13"/>
        <v>52</v>
      </c>
      <c r="N90" s="22">
        <f t="shared" si="14"/>
        <v>2</v>
      </c>
      <c r="O90" s="26">
        <f t="shared" si="15"/>
        <v>6.6666666666666666E-2</v>
      </c>
      <c r="P90" s="26">
        <f t="shared" si="17"/>
        <v>0</v>
      </c>
    </row>
    <row r="91" spans="2:16" x14ac:dyDescent="0.4">
      <c r="B91" s="48"/>
      <c r="C91" s="11" t="s">
        <v>6</v>
      </c>
      <c r="D91" s="11">
        <v>298</v>
      </c>
      <c r="E91" s="4">
        <v>18</v>
      </c>
      <c r="F91" s="4">
        <v>3</v>
      </c>
      <c r="G91" s="3">
        <f t="shared" si="11"/>
        <v>0.16666666666666666</v>
      </c>
      <c r="H91" s="24">
        <v>19</v>
      </c>
      <c r="I91" s="4">
        <v>15</v>
      </c>
      <c r="J91" s="4">
        <v>0</v>
      </c>
      <c r="K91" s="20">
        <f t="shared" si="16"/>
        <v>0</v>
      </c>
      <c r="L91" s="22">
        <f t="shared" si="12"/>
        <v>317</v>
      </c>
      <c r="M91" s="22">
        <f t="shared" si="13"/>
        <v>33</v>
      </c>
      <c r="N91" s="22">
        <f t="shared" si="14"/>
        <v>3</v>
      </c>
      <c r="O91" s="26">
        <f t="shared" si="15"/>
        <v>0.16666666666666666</v>
      </c>
      <c r="P91" s="26">
        <f t="shared" si="17"/>
        <v>0</v>
      </c>
    </row>
    <row r="92" spans="2:16" x14ac:dyDescent="0.4">
      <c r="B92" s="48"/>
      <c r="C92" s="11" t="s">
        <v>7</v>
      </c>
      <c r="D92" s="11">
        <v>263</v>
      </c>
      <c r="E92" s="4">
        <v>13</v>
      </c>
      <c r="F92" s="4">
        <v>0</v>
      </c>
      <c r="G92" s="3">
        <f t="shared" si="11"/>
        <v>0</v>
      </c>
      <c r="H92" s="24">
        <v>42</v>
      </c>
      <c r="I92" s="4">
        <v>18</v>
      </c>
      <c r="J92" s="4">
        <v>0</v>
      </c>
      <c r="K92" s="20">
        <f t="shared" si="16"/>
        <v>0</v>
      </c>
      <c r="L92" s="22">
        <f t="shared" si="12"/>
        <v>305</v>
      </c>
      <c r="M92" s="22">
        <f t="shared" si="13"/>
        <v>31</v>
      </c>
      <c r="N92" s="22">
        <f t="shared" si="14"/>
        <v>0</v>
      </c>
      <c r="O92" s="26">
        <f t="shared" si="15"/>
        <v>0</v>
      </c>
      <c r="P92" s="26">
        <f t="shared" si="17"/>
        <v>0</v>
      </c>
    </row>
    <row r="93" spans="2:16" x14ac:dyDescent="0.4">
      <c r="B93" s="48"/>
      <c r="C93" s="11" t="s">
        <v>25</v>
      </c>
      <c r="D93" s="11">
        <v>230</v>
      </c>
      <c r="E93" s="4">
        <v>20</v>
      </c>
      <c r="F93" s="4">
        <v>4</v>
      </c>
      <c r="G93" s="3">
        <f t="shared" si="11"/>
        <v>0.2</v>
      </c>
      <c r="H93" s="24">
        <v>30</v>
      </c>
      <c r="I93" s="4">
        <v>23</v>
      </c>
      <c r="J93" s="4">
        <v>0</v>
      </c>
      <c r="K93" s="20">
        <f t="shared" si="16"/>
        <v>0</v>
      </c>
      <c r="L93" s="22">
        <f t="shared" si="12"/>
        <v>260</v>
      </c>
      <c r="M93" s="22">
        <f t="shared" si="13"/>
        <v>43</v>
      </c>
      <c r="N93" s="22">
        <f t="shared" si="14"/>
        <v>4</v>
      </c>
      <c r="O93" s="26">
        <f t="shared" si="15"/>
        <v>0.2</v>
      </c>
      <c r="P93" s="26">
        <f t="shared" si="17"/>
        <v>0</v>
      </c>
    </row>
    <row r="94" spans="2:16" x14ac:dyDescent="0.4">
      <c r="B94" s="48"/>
      <c r="C94" s="11" t="s">
        <v>26</v>
      </c>
      <c r="D94" s="11">
        <v>282</v>
      </c>
      <c r="E94" s="4">
        <v>2</v>
      </c>
      <c r="F94" s="4">
        <v>0</v>
      </c>
      <c r="G94" s="3">
        <f t="shared" si="11"/>
        <v>0</v>
      </c>
      <c r="H94" s="24">
        <v>41</v>
      </c>
      <c r="I94" s="4">
        <v>30</v>
      </c>
      <c r="J94" s="4">
        <v>0</v>
      </c>
      <c r="K94" s="20">
        <f t="shared" si="16"/>
        <v>0</v>
      </c>
      <c r="L94" s="22">
        <f t="shared" si="12"/>
        <v>323</v>
      </c>
      <c r="M94" s="22">
        <f t="shared" si="13"/>
        <v>32</v>
      </c>
      <c r="N94" s="22">
        <f t="shared" si="14"/>
        <v>0</v>
      </c>
      <c r="O94" s="26">
        <f t="shared" si="15"/>
        <v>0</v>
      </c>
      <c r="P94" s="26">
        <f t="shared" si="17"/>
        <v>0</v>
      </c>
    </row>
    <row r="95" spans="2:16" x14ac:dyDescent="0.4">
      <c r="B95" s="48"/>
      <c r="C95" s="11" t="s">
        <v>27</v>
      </c>
      <c r="D95" s="11">
        <v>353</v>
      </c>
      <c r="E95" s="4">
        <v>23</v>
      </c>
      <c r="F95" s="4">
        <v>6</v>
      </c>
      <c r="G95" s="3">
        <f t="shared" si="11"/>
        <v>0.2608695652173913</v>
      </c>
      <c r="H95" s="24">
        <v>26</v>
      </c>
      <c r="I95" s="4">
        <v>12</v>
      </c>
      <c r="J95" s="4">
        <v>0</v>
      </c>
      <c r="K95" s="20">
        <f t="shared" si="16"/>
        <v>0</v>
      </c>
      <c r="L95" s="22">
        <f t="shared" si="12"/>
        <v>379</v>
      </c>
      <c r="M95" s="22">
        <f t="shared" si="13"/>
        <v>35</v>
      </c>
      <c r="N95" s="22">
        <f t="shared" si="14"/>
        <v>6</v>
      </c>
      <c r="O95" s="26">
        <f t="shared" si="15"/>
        <v>0.2608695652173913</v>
      </c>
      <c r="P95" s="26">
        <f t="shared" si="17"/>
        <v>0</v>
      </c>
    </row>
    <row r="96" spans="2:16" x14ac:dyDescent="0.4">
      <c r="B96" s="48"/>
      <c r="C96" s="11" t="s">
        <v>28</v>
      </c>
      <c r="D96" s="11">
        <v>553</v>
      </c>
      <c r="E96" s="4">
        <v>26</v>
      </c>
      <c r="F96" s="4">
        <v>7</v>
      </c>
      <c r="G96" s="3">
        <f t="shared" si="11"/>
        <v>0.26923076923076922</v>
      </c>
      <c r="H96" s="24">
        <v>0</v>
      </c>
      <c r="I96" s="4">
        <v>0</v>
      </c>
      <c r="J96" s="4">
        <v>0</v>
      </c>
      <c r="K96" s="20" t="e">
        <f t="shared" si="16"/>
        <v>#DIV/0!</v>
      </c>
      <c r="L96" s="22">
        <f t="shared" si="12"/>
        <v>553</v>
      </c>
      <c r="M96" s="22">
        <f t="shared" si="13"/>
        <v>26</v>
      </c>
      <c r="N96" s="22">
        <f t="shared" si="14"/>
        <v>7</v>
      </c>
      <c r="O96" s="26">
        <f t="shared" si="15"/>
        <v>0.26923076923076922</v>
      </c>
      <c r="P96" s="26" t="e">
        <f t="shared" si="17"/>
        <v>#DIV/0!</v>
      </c>
    </row>
    <row r="97" spans="2:16" x14ac:dyDescent="0.4">
      <c r="B97" s="48"/>
      <c r="C97" s="11" t="s">
        <v>29</v>
      </c>
      <c r="D97" s="11">
        <v>541</v>
      </c>
      <c r="E97" s="4">
        <v>25</v>
      </c>
      <c r="F97" s="4">
        <v>3</v>
      </c>
      <c r="G97" s="3">
        <f t="shared" si="11"/>
        <v>0.12</v>
      </c>
      <c r="H97" s="24">
        <v>36</v>
      </c>
      <c r="I97" s="4">
        <v>14</v>
      </c>
      <c r="J97" s="4">
        <v>0</v>
      </c>
      <c r="K97" s="20">
        <f t="shared" si="16"/>
        <v>0</v>
      </c>
      <c r="L97" s="22">
        <f t="shared" si="12"/>
        <v>577</v>
      </c>
      <c r="M97" s="22">
        <f t="shared" si="13"/>
        <v>39</v>
      </c>
      <c r="N97" s="22">
        <f t="shared" si="14"/>
        <v>3</v>
      </c>
      <c r="O97" s="26">
        <f t="shared" si="15"/>
        <v>0.12</v>
      </c>
      <c r="P97" s="26">
        <f t="shared" si="17"/>
        <v>0</v>
      </c>
    </row>
    <row r="98" spans="2:16" x14ac:dyDescent="0.4">
      <c r="B98" s="48"/>
      <c r="C98" s="11" t="s">
        <v>30</v>
      </c>
      <c r="D98" s="11">
        <v>445</v>
      </c>
      <c r="E98" s="4">
        <v>23</v>
      </c>
      <c r="F98" s="4">
        <v>2</v>
      </c>
      <c r="G98" s="3">
        <f t="shared" si="11"/>
        <v>8.6956521739130432E-2</v>
      </c>
      <c r="H98" s="24">
        <v>55</v>
      </c>
      <c r="I98" s="4">
        <v>29</v>
      </c>
      <c r="J98" s="4">
        <v>0</v>
      </c>
      <c r="K98" s="20">
        <f t="shared" si="16"/>
        <v>0</v>
      </c>
      <c r="L98" s="22">
        <f t="shared" si="12"/>
        <v>500</v>
      </c>
      <c r="M98" s="22">
        <f t="shared" si="13"/>
        <v>52</v>
      </c>
      <c r="N98" s="22">
        <f t="shared" si="14"/>
        <v>2</v>
      </c>
      <c r="O98" s="26">
        <f t="shared" si="15"/>
        <v>8.6956521739130432E-2</v>
      </c>
      <c r="P98" s="26">
        <f t="shared" si="17"/>
        <v>0</v>
      </c>
    </row>
    <row r="99" spans="2:16" x14ac:dyDescent="0.4">
      <c r="B99" s="48"/>
      <c r="C99" s="11" t="s">
        <v>31</v>
      </c>
      <c r="D99" s="11">
        <v>667</v>
      </c>
      <c r="E99" s="4">
        <v>25</v>
      </c>
      <c r="F99" s="4">
        <v>1</v>
      </c>
      <c r="G99" s="3">
        <f t="shared" si="11"/>
        <v>0.04</v>
      </c>
      <c r="H99" s="24">
        <v>31</v>
      </c>
      <c r="I99" s="4">
        <v>23</v>
      </c>
      <c r="J99" s="4">
        <v>1</v>
      </c>
      <c r="K99" s="20">
        <f t="shared" si="16"/>
        <v>4.3478260869565216E-2</v>
      </c>
      <c r="L99" s="22">
        <f t="shared" si="12"/>
        <v>698</v>
      </c>
      <c r="M99" s="22">
        <f t="shared" si="13"/>
        <v>48</v>
      </c>
      <c r="N99" s="22">
        <f t="shared" si="14"/>
        <v>2</v>
      </c>
      <c r="O99" s="26">
        <f t="shared" si="15"/>
        <v>0.04</v>
      </c>
      <c r="P99" s="26">
        <f t="shared" si="17"/>
        <v>4.3478260869565216E-2</v>
      </c>
    </row>
    <row r="100" spans="2:16" x14ac:dyDescent="0.4">
      <c r="B100" s="48"/>
      <c r="C100" s="11" t="s">
        <v>32</v>
      </c>
      <c r="D100" s="11">
        <v>621</v>
      </c>
      <c r="E100" s="4">
        <v>25</v>
      </c>
      <c r="F100" s="4">
        <v>6</v>
      </c>
      <c r="G100" s="3">
        <f t="shared" si="11"/>
        <v>0.24</v>
      </c>
      <c r="H100" s="24">
        <v>38</v>
      </c>
      <c r="I100" s="4">
        <v>24</v>
      </c>
      <c r="J100" s="4">
        <v>2</v>
      </c>
      <c r="K100" s="20">
        <f t="shared" si="16"/>
        <v>8.3333333333333329E-2</v>
      </c>
      <c r="L100" s="22">
        <f t="shared" si="12"/>
        <v>659</v>
      </c>
      <c r="M100" s="22">
        <f t="shared" si="13"/>
        <v>49</v>
      </c>
      <c r="N100" s="22">
        <f t="shared" si="14"/>
        <v>8</v>
      </c>
      <c r="O100" s="26">
        <f t="shared" si="15"/>
        <v>0.24</v>
      </c>
      <c r="P100" s="26">
        <f t="shared" si="17"/>
        <v>8.3333333333333329E-2</v>
      </c>
    </row>
    <row r="101" spans="2:16" x14ac:dyDescent="0.4">
      <c r="B101" s="48"/>
      <c r="C101" s="11" t="s">
        <v>33</v>
      </c>
      <c r="D101" s="11">
        <v>724</v>
      </c>
      <c r="E101" s="4">
        <v>25</v>
      </c>
      <c r="F101" s="4">
        <v>0</v>
      </c>
      <c r="G101" s="3">
        <f t="shared" si="11"/>
        <v>0</v>
      </c>
      <c r="H101" s="24">
        <v>47</v>
      </c>
      <c r="I101" s="4">
        <v>24</v>
      </c>
      <c r="J101" s="4">
        <v>2</v>
      </c>
      <c r="K101" s="20">
        <f t="shared" si="16"/>
        <v>8.3333333333333329E-2</v>
      </c>
      <c r="L101" s="22">
        <f t="shared" si="12"/>
        <v>771</v>
      </c>
      <c r="M101" s="22">
        <f t="shared" si="13"/>
        <v>49</v>
      </c>
      <c r="N101" s="22">
        <f t="shared" si="14"/>
        <v>2</v>
      </c>
      <c r="O101" s="26">
        <f t="shared" si="15"/>
        <v>0</v>
      </c>
      <c r="P101" s="26">
        <f t="shared" si="17"/>
        <v>8.3333333333333329E-2</v>
      </c>
    </row>
    <row r="102" spans="2:16" x14ac:dyDescent="0.4">
      <c r="B102" s="48"/>
      <c r="C102" s="11" t="s">
        <v>34</v>
      </c>
      <c r="D102" s="11">
        <v>651</v>
      </c>
      <c r="E102" s="4">
        <v>10</v>
      </c>
      <c r="F102" s="4">
        <v>0</v>
      </c>
      <c r="G102" s="3">
        <f t="shared" si="11"/>
        <v>0</v>
      </c>
      <c r="H102" s="24">
        <v>39</v>
      </c>
      <c r="I102" s="4">
        <v>24</v>
      </c>
      <c r="J102" s="4">
        <v>0</v>
      </c>
      <c r="K102" s="20">
        <f t="shared" si="16"/>
        <v>0</v>
      </c>
      <c r="L102" s="22">
        <f t="shared" si="12"/>
        <v>690</v>
      </c>
      <c r="M102" s="22">
        <f t="shared" si="13"/>
        <v>34</v>
      </c>
      <c r="N102" s="22">
        <f t="shared" si="14"/>
        <v>0</v>
      </c>
      <c r="O102" s="26">
        <f t="shared" si="15"/>
        <v>0</v>
      </c>
      <c r="P102" s="26">
        <f t="shared" si="17"/>
        <v>0</v>
      </c>
    </row>
    <row r="103" spans="2:16" s="9" customFormat="1" x14ac:dyDescent="0.4">
      <c r="C103" s="11" t="s">
        <v>36</v>
      </c>
      <c r="D103">
        <v>554</v>
      </c>
      <c r="E103" s="34">
        <v>18</v>
      </c>
      <c r="F103" s="9">
        <v>2</v>
      </c>
      <c r="G103" s="3">
        <f t="shared" si="11"/>
        <v>0.1111111111111111</v>
      </c>
      <c r="H103">
        <v>64</v>
      </c>
      <c r="I103" s="34">
        <v>19</v>
      </c>
      <c r="J103" s="9">
        <v>1</v>
      </c>
      <c r="K103" s="20">
        <f t="shared" ref="K103:K111" si="18">J103/I103</f>
        <v>5.2631578947368418E-2</v>
      </c>
      <c r="L103" s="22">
        <f t="shared" si="12"/>
        <v>618</v>
      </c>
      <c r="M103" s="22">
        <f t="shared" si="13"/>
        <v>37</v>
      </c>
      <c r="N103" s="22">
        <f t="shared" si="14"/>
        <v>3</v>
      </c>
      <c r="O103" s="26">
        <f t="shared" si="15"/>
        <v>0.1111111111111111</v>
      </c>
      <c r="P103" s="26">
        <f t="shared" ref="P103:P111" si="19">K103</f>
        <v>5.2631578947368418E-2</v>
      </c>
    </row>
    <row r="104" spans="2:16" s="9" customFormat="1" x14ac:dyDescent="0.4">
      <c r="C104" s="11" t="s">
        <v>37</v>
      </c>
      <c r="D104">
        <v>613</v>
      </c>
      <c r="E104" s="34">
        <v>25</v>
      </c>
      <c r="F104" s="39">
        <v>3</v>
      </c>
      <c r="G104" s="3">
        <f t="shared" si="11"/>
        <v>0.12</v>
      </c>
      <c r="H104">
        <v>77</v>
      </c>
      <c r="I104" s="34">
        <v>14</v>
      </c>
      <c r="J104" s="9">
        <v>0</v>
      </c>
      <c r="K104" s="20">
        <f t="shared" si="18"/>
        <v>0</v>
      </c>
      <c r="L104" s="22">
        <f t="shared" si="12"/>
        <v>690</v>
      </c>
      <c r="M104" s="22">
        <f t="shared" si="13"/>
        <v>39</v>
      </c>
      <c r="N104" s="22">
        <f t="shared" si="14"/>
        <v>3</v>
      </c>
      <c r="O104" s="26">
        <f t="shared" si="15"/>
        <v>0.12</v>
      </c>
      <c r="P104" s="26">
        <f t="shared" si="19"/>
        <v>0</v>
      </c>
    </row>
    <row r="105" spans="2:16" s="9" customFormat="1" x14ac:dyDescent="0.4">
      <c r="C105" s="11" t="s">
        <v>38</v>
      </c>
      <c r="D105">
        <v>685</v>
      </c>
      <c r="E105" s="34">
        <v>25</v>
      </c>
      <c r="F105" s="9">
        <v>1</v>
      </c>
      <c r="G105" s="3">
        <f t="shared" si="11"/>
        <v>0.04</v>
      </c>
      <c r="H105">
        <v>89</v>
      </c>
      <c r="I105" s="34">
        <v>18</v>
      </c>
      <c r="J105" s="9">
        <v>1</v>
      </c>
      <c r="K105" s="20">
        <f t="shared" si="18"/>
        <v>5.5555555555555552E-2</v>
      </c>
      <c r="L105" s="22">
        <f t="shared" si="12"/>
        <v>774</v>
      </c>
      <c r="M105" s="22">
        <f t="shared" si="13"/>
        <v>43</v>
      </c>
      <c r="N105" s="22">
        <f t="shared" si="14"/>
        <v>2</v>
      </c>
      <c r="O105" s="26">
        <f t="shared" si="15"/>
        <v>0.04</v>
      </c>
      <c r="P105" s="26">
        <f t="shared" si="19"/>
        <v>5.5555555555555552E-2</v>
      </c>
    </row>
    <row r="106" spans="2:16" s="9" customFormat="1" x14ac:dyDescent="0.4">
      <c r="C106" s="11" t="s">
        <v>39</v>
      </c>
      <c r="D106">
        <v>680</v>
      </c>
      <c r="E106" s="34">
        <v>24</v>
      </c>
      <c r="F106" s="39">
        <v>2</v>
      </c>
      <c r="G106" s="3">
        <f t="shared" si="11"/>
        <v>8.3333333333333329E-2</v>
      </c>
      <c r="H106">
        <v>66</v>
      </c>
      <c r="I106" s="34">
        <v>23</v>
      </c>
      <c r="J106" s="9">
        <v>1</v>
      </c>
      <c r="K106" s="20">
        <f t="shared" si="18"/>
        <v>4.3478260869565216E-2</v>
      </c>
      <c r="L106" s="22">
        <f t="shared" si="12"/>
        <v>746</v>
      </c>
      <c r="M106" s="22">
        <f t="shared" si="13"/>
        <v>47</v>
      </c>
      <c r="N106" s="22">
        <f t="shared" si="14"/>
        <v>3</v>
      </c>
      <c r="O106" s="26">
        <f t="shared" si="15"/>
        <v>8.3333333333333329E-2</v>
      </c>
      <c r="P106" s="26">
        <f t="shared" si="19"/>
        <v>4.3478260869565216E-2</v>
      </c>
    </row>
    <row r="107" spans="2:16" s="9" customFormat="1" x14ac:dyDescent="0.4">
      <c r="C107" s="11" t="s">
        <v>40</v>
      </c>
      <c r="D107">
        <v>641</v>
      </c>
      <c r="E107" s="34">
        <v>24</v>
      </c>
      <c r="F107" s="9">
        <v>4</v>
      </c>
      <c r="G107" s="3">
        <f t="shared" si="11"/>
        <v>0.16666666666666666</v>
      </c>
      <c r="H107">
        <v>54</v>
      </c>
      <c r="I107" s="34">
        <v>24</v>
      </c>
      <c r="J107" s="9">
        <v>4</v>
      </c>
      <c r="K107" s="20">
        <f t="shared" si="18"/>
        <v>0.16666666666666666</v>
      </c>
      <c r="L107" s="22">
        <f t="shared" si="12"/>
        <v>695</v>
      </c>
      <c r="M107" s="22">
        <f t="shared" si="13"/>
        <v>48</v>
      </c>
      <c r="N107" s="22">
        <f t="shared" si="14"/>
        <v>8</v>
      </c>
      <c r="O107" s="26">
        <f t="shared" si="15"/>
        <v>0.16666666666666666</v>
      </c>
      <c r="P107" s="26">
        <f t="shared" si="19"/>
        <v>0.16666666666666666</v>
      </c>
    </row>
    <row r="108" spans="2:16" s="9" customFormat="1" x14ac:dyDescent="0.4">
      <c r="C108" s="11" t="s">
        <v>41</v>
      </c>
      <c r="D108">
        <v>595</v>
      </c>
      <c r="E108" s="34">
        <v>17</v>
      </c>
      <c r="F108" s="9">
        <v>1</v>
      </c>
      <c r="G108" s="3">
        <f t="shared" si="11"/>
        <v>5.8823529411764705E-2</v>
      </c>
      <c r="H108">
        <v>80</v>
      </c>
      <c r="I108" s="34">
        <v>8</v>
      </c>
      <c r="J108" s="9">
        <v>0</v>
      </c>
      <c r="K108" s="20">
        <f t="shared" si="18"/>
        <v>0</v>
      </c>
      <c r="L108" s="22">
        <f t="shared" si="12"/>
        <v>675</v>
      </c>
      <c r="M108" s="22">
        <f t="shared" si="13"/>
        <v>25</v>
      </c>
      <c r="N108" s="22">
        <f t="shared" si="14"/>
        <v>1</v>
      </c>
      <c r="O108" s="26">
        <f t="shared" si="15"/>
        <v>5.8823529411764705E-2</v>
      </c>
      <c r="P108" s="26">
        <f t="shared" si="19"/>
        <v>0</v>
      </c>
    </row>
    <row r="109" spans="2:16" s="9" customFormat="1" x14ac:dyDescent="0.4">
      <c r="C109" s="11" t="s">
        <v>58</v>
      </c>
      <c r="D109">
        <v>753</v>
      </c>
      <c r="E109" s="34">
        <v>16</v>
      </c>
      <c r="F109" s="39">
        <v>3</v>
      </c>
      <c r="G109" s="3">
        <f t="shared" si="11"/>
        <v>0.1875</v>
      </c>
      <c r="H109">
        <v>65</v>
      </c>
      <c r="I109" s="34">
        <v>28</v>
      </c>
      <c r="K109" s="20">
        <f t="shared" si="18"/>
        <v>0</v>
      </c>
      <c r="L109" s="22">
        <f t="shared" si="12"/>
        <v>818</v>
      </c>
      <c r="M109" s="22">
        <f t="shared" si="13"/>
        <v>44</v>
      </c>
      <c r="N109" s="22">
        <f t="shared" si="14"/>
        <v>3</v>
      </c>
      <c r="O109" s="26">
        <f t="shared" si="15"/>
        <v>0.1875</v>
      </c>
      <c r="P109" s="26">
        <f t="shared" si="19"/>
        <v>0</v>
      </c>
    </row>
    <row r="110" spans="2:16" s="9" customFormat="1" x14ac:dyDescent="0.4">
      <c r="C110" s="11" t="s">
        <v>59</v>
      </c>
      <c r="D110">
        <v>635</v>
      </c>
      <c r="E110" s="34">
        <v>13</v>
      </c>
      <c r="F110" s="9">
        <v>1</v>
      </c>
      <c r="G110" s="3">
        <f t="shared" si="11"/>
        <v>7.6923076923076927E-2</v>
      </c>
      <c r="H110">
        <v>71</v>
      </c>
      <c r="I110" s="34">
        <v>23</v>
      </c>
      <c r="K110" s="20">
        <f t="shared" si="18"/>
        <v>0</v>
      </c>
      <c r="L110" s="22">
        <f t="shared" si="12"/>
        <v>706</v>
      </c>
      <c r="M110" s="22">
        <f t="shared" si="13"/>
        <v>36</v>
      </c>
      <c r="N110" s="22">
        <f t="shared" si="14"/>
        <v>1</v>
      </c>
      <c r="O110" s="26">
        <f t="shared" si="15"/>
        <v>7.6923076923076927E-2</v>
      </c>
      <c r="P110" s="26">
        <f t="shared" si="19"/>
        <v>0</v>
      </c>
    </row>
    <row r="111" spans="2:16" s="9" customFormat="1" x14ac:dyDescent="0.4">
      <c r="C111" s="11" t="s">
        <v>60</v>
      </c>
      <c r="D111">
        <v>668</v>
      </c>
      <c r="E111" s="34">
        <v>15</v>
      </c>
      <c r="F111" s="9">
        <v>1</v>
      </c>
      <c r="G111" s="3">
        <f t="shared" si="11"/>
        <v>6.6666666666666666E-2</v>
      </c>
      <c r="H111">
        <v>74</v>
      </c>
      <c r="I111" s="34">
        <v>32</v>
      </c>
      <c r="K111" s="20">
        <f t="shared" si="18"/>
        <v>0</v>
      </c>
      <c r="L111" s="22">
        <f t="shared" si="12"/>
        <v>742</v>
      </c>
      <c r="M111" s="22">
        <f t="shared" si="13"/>
        <v>47</v>
      </c>
      <c r="N111" s="22">
        <f t="shared" si="14"/>
        <v>1</v>
      </c>
      <c r="O111" s="26">
        <f t="shared" si="15"/>
        <v>6.6666666666666666E-2</v>
      </c>
      <c r="P111" s="26">
        <f t="shared" si="19"/>
        <v>0</v>
      </c>
    </row>
    <row r="112" spans="2:16" s="9" customFormat="1" x14ac:dyDescent="0.4">
      <c r="C112" s="11" t="s">
        <v>61</v>
      </c>
      <c r="D112">
        <v>601</v>
      </c>
      <c r="E112" s="34">
        <v>13</v>
      </c>
      <c r="F112" s="9">
        <v>0</v>
      </c>
      <c r="G112" s="3">
        <f t="shared" si="11"/>
        <v>0</v>
      </c>
      <c r="H112">
        <v>56</v>
      </c>
      <c r="I112" s="34">
        <v>32</v>
      </c>
      <c r="K112" s="20">
        <f>J112/I112</f>
        <v>0</v>
      </c>
      <c r="L112" s="22">
        <f>D112+H112</f>
        <v>657</v>
      </c>
      <c r="M112" s="22">
        <f t="shared" si="13"/>
        <v>45</v>
      </c>
      <c r="N112" s="22">
        <f>F112+J112</f>
        <v>0</v>
      </c>
      <c r="O112" s="26">
        <f t="shared" si="15"/>
        <v>0</v>
      </c>
      <c r="P112" s="26">
        <f>K112</f>
        <v>0</v>
      </c>
    </row>
    <row r="113" spans="3:16" s="9" customFormat="1" x14ac:dyDescent="0.4">
      <c r="C113" s="11" t="s">
        <v>62</v>
      </c>
      <c r="D113">
        <v>634</v>
      </c>
      <c r="E113" s="34">
        <v>15</v>
      </c>
      <c r="F113" s="9">
        <v>0</v>
      </c>
      <c r="G113" s="3">
        <f t="shared" si="11"/>
        <v>0</v>
      </c>
      <c r="H113">
        <v>47</v>
      </c>
      <c r="I113" s="34">
        <v>20</v>
      </c>
      <c r="K113" s="20">
        <f t="shared" ref="K113:K135" si="20">J113/I113</f>
        <v>0</v>
      </c>
      <c r="L113" s="22">
        <f t="shared" ref="L113:L135" si="21">D113+H113</f>
        <v>681</v>
      </c>
      <c r="M113" s="22">
        <f t="shared" si="13"/>
        <v>35</v>
      </c>
      <c r="N113" s="22">
        <f t="shared" ref="N113:N135" si="22">F113+J113</f>
        <v>0</v>
      </c>
      <c r="O113" s="26">
        <f t="shared" si="15"/>
        <v>0</v>
      </c>
      <c r="P113" s="26">
        <f t="shared" ref="P113:P135" si="23">K113</f>
        <v>0</v>
      </c>
    </row>
    <row r="114" spans="3:16" s="9" customFormat="1" x14ac:dyDescent="0.4">
      <c r="C114" s="11" t="s">
        <v>63</v>
      </c>
      <c r="D114">
        <v>740</v>
      </c>
      <c r="E114" s="34">
        <v>14</v>
      </c>
      <c r="F114" s="9">
        <v>0</v>
      </c>
      <c r="G114" s="3">
        <f t="shared" si="11"/>
        <v>0</v>
      </c>
      <c r="H114">
        <v>39</v>
      </c>
      <c r="I114" s="34">
        <v>20</v>
      </c>
      <c r="K114" s="20">
        <f t="shared" si="20"/>
        <v>0</v>
      </c>
      <c r="L114" s="22">
        <f t="shared" si="21"/>
        <v>779</v>
      </c>
      <c r="M114" s="22">
        <f t="shared" si="13"/>
        <v>34</v>
      </c>
      <c r="N114" s="22">
        <f t="shared" si="22"/>
        <v>0</v>
      </c>
      <c r="O114" s="26">
        <f t="shared" si="15"/>
        <v>0</v>
      </c>
      <c r="P114" s="26">
        <f t="shared" si="23"/>
        <v>0</v>
      </c>
    </row>
    <row r="115" spans="3:16" s="9" customFormat="1" x14ac:dyDescent="0.4">
      <c r="C115" s="11" t="s">
        <v>64</v>
      </c>
      <c r="D115">
        <v>610</v>
      </c>
      <c r="E115" s="34">
        <v>15</v>
      </c>
      <c r="F115" s="9">
        <v>2</v>
      </c>
      <c r="G115" s="3">
        <f t="shared" si="11"/>
        <v>0.13333333333333333</v>
      </c>
      <c r="H115">
        <v>47</v>
      </c>
      <c r="I115" s="34">
        <v>26</v>
      </c>
      <c r="K115" s="20">
        <f t="shared" si="20"/>
        <v>0</v>
      </c>
      <c r="L115" s="22">
        <f t="shared" si="21"/>
        <v>657</v>
      </c>
      <c r="M115" s="22">
        <f t="shared" si="13"/>
        <v>41</v>
      </c>
      <c r="N115" s="22">
        <f t="shared" si="22"/>
        <v>2</v>
      </c>
      <c r="O115" s="26">
        <f t="shared" si="15"/>
        <v>0.13333333333333333</v>
      </c>
      <c r="P115" s="26">
        <f t="shared" si="23"/>
        <v>0</v>
      </c>
    </row>
    <row r="116" spans="3:16" s="9" customFormat="1" x14ac:dyDescent="0.4">
      <c r="C116" s="11" t="s">
        <v>65</v>
      </c>
      <c r="D116" s="9">
        <v>569</v>
      </c>
      <c r="E116" s="34">
        <v>15</v>
      </c>
      <c r="F116" s="9">
        <v>1</v>
      </c>
      <c r="G116" s="3">
        <f t="shared" si="11"/>
        <v>6.6666666666666666E-2</v>
      </c>
      <c r="H116" s="33">
        <v>39</v>
      </c>
      <c r="I116" s="34">
        <v>19</v>
      </c>
      <c r="K116" s="20">
        <f t="shared" si="20"/>
        <v>0</v>
      </c>
      <c r="L116" s="22">
        <f t="shared" si="21"/>
        <v>608</v>
      </c>
      <c r="M116" s="22">
        <f t="shared" si="13"/>
        <v>34</v>
      </c>
      <c r="N116" s="22">
        <f t="shared" si="22"/>
        <v>1</v>
      </c>
      <c r="O116" s="26">
        <f t="shared" si="15"/>
        <v>6.6666666666666666E-2</v>
      </c>
      <c r="P116" s="26">
        <f t="shared" si="23"/>
        <v>0</v>
      </c>
    </row>
    <row r="117" spans="3:16" s="9" customFormat="1" x14ac:dyDescent="0.4">
      <c r="C117" s="11" t="s">
        <v>66</v>
      </c>
      <c r="D117" s="9">
        <v>660</v>
      </c>
      <c r="E117" s="34">
        <v>15</v>
      </c>
      <c r="F117" s="9">
        <v>0</v>
      </c>
      <c r="G117" s="3">
        <f t="shared" si="11"/>
        <v>0</v>
      </c>
      <c r="H117" s="33">
        <v>36</v>
      </c>
      <c r="I117" s="34">
        <v>26</v>
      </c>
      <c r="K117" s="20">
        <f t="shared" si="20"/>
        <v>0</v>
      </c>
      <c r="L117" s="22">
        <f t="shared" si="21"/>
        <v>696</v>
      </c>
      <c r="M117" s="22">
        <f t="shared" si="13"/>
        <v>41</v>
      </c>
      <c r="N117" s="22">
        <f t="shared" si="22"/>
        <v>0</v>
      </c>
      <c r="O117" s="26">
        <f t="shared" si="15"/>
        <v>0</v>
      </c>
      <c r="P117" s="26">
        <f t="shared" si="23"/>
        <v>0</v>
      </c>
    </row>
    <row r="118" spans="3:16" s="9" customFormat="1" x14ac:dyDescent="0.4">
      <c r="C118" s="11" t="s">
        <v>67</v>
      </c>
      <c r="D118" s="9">
        <v>751</v>
      </c>
      <c r="E118" s="34">
        <v>15</v>
      </c>
      <c r="F118" s="9">
        <v>0</v>
      </c>
      <c r="G118" s="3">
        <f t="shared" si="11"/>
        <v>0</v>
      </c>
      <c r="H118">
        <v>46</v>
      </c>
      <c r="I118" s="34">
        <v>30</v>
      </c>
      <c r="K118" s="20">
        <f t="shared" si="20"/>
        <v>0</v>
      </c>
      <c r="L118" s="22">
        <f t="shared" si="21"/>
        <v>797</v>
      </c>
      <c r="M118" s="22">
        <f t="shared" si="13"/>
        <v>45</v>
      </c>
      <c r="N118" s="22">
        <f t="shared" si="22"/>
        <v>0</v>
      </c>
      <c r="O118" s="26">
        <f t="shared" si="15"/>
        <v>0</v>
      </c>
      <c r="P118" s="26">
        <f t="shared" si="23"/>
        <v>0</v>
      </c>
    </row>
    <row r="119" spans="3:16" s="9" customFormat="1" x14ac:dyDescent="0.4">
      <c r="C119" s="11" t="s">
        <v>68</v>
      </c>
      <c r="D119" s="9">
        <v>699</v>
      </c>
      <c r="E119" s="9">
        <v>15</v>
      </c>
      <c r="F119" s="9">
        <v>4</v>
      </c>
      <c r="G119" s="3">
        <f t="shared" si="11"/>
        <v>0.26666666666666666</v>
      </c>
      <c r="H119" s="40">
        <v>34</v>
      </c>
      <c r="I119" s="9">
        <v>16</v>
      </c>
      <c r="K119" s="20">
        <f t="shared" si="20"/>
        <v>0</v>
      </c>
      <c r="L119" s="22">
        <f t="shared" si="21"/>
        <v>733</v>
      </c>
      <c r="M119" s="22">
        <f t="shared" si="13"/>
        <v>31</v>
      </c>
      <c r="N119" s="22">
        <f t="shared" si="22"/>
        <v>4</v>
      </c>
      <c r="O119" s="26">
        <f t="shared" si="15"/>
        <v>0.26666666666666666</v>
      </c>
      <c r="P119" s="26">
        <f t="shared" si="23"/>
        <v>0</v>
      </c>
    </row>
    <row r="120" spans="3:16" s="9" customFormat="1" x14ac:dyDescent="0.4">
      <c r="C120" s="11" t="s">
        <v>69</v>
      </c>
      <c r="D120" s="9">
        <v>711</v>
      </c>
      <c r="E120" s="9">
        <v>15</v>
      </c>
      <c r="F120" s="9">
        <v>5</v>
      </c>
      <c r="G120" s="3">
        <f t="shared" si="11"/>
        <v>0.33333333333333331</v>
      </c>
      <c r="H120" s="40">
        <v>31</v>
      </c>
      <c r="I120" s="9">
        <v>15</v>
      </c>
      <c r="K120" s="20">
        <f t="shared" si="20"/>
        <v>0</v>
      </c>
      <c r="L120" s="22">
        <f t="shared" si="21"/>
        <v>742</v>
      </c>
      <c r="M120" s="22">
        <f t="shared" si="13"/>
        <v>30</v>
      </c>
      <c r="N120" s="22">
        <f t="shared" si="22"/>
        <v>5</v>
      </c>
      <c r="O120" s="26">
        <f t="shared" si="15"/>
        <v>0.33333333333333331</v>
      </c>
      <c r="P120" s="26">
        <f t="shared" si="23"/>
        <v>0</v>
      </c>
    </row>
    <row r="121" spans="3:16" s="9" customFormat="1" x14ac:dyDescent="0.4">
      <c r="C121" s="11" t="s">
        <v>70</v>
      </c>
      <c r="D121" s="9">
        <v>585</v>
      </c>
      <c r="E121" s="9">
        <v>15</v>
      </c>
      <c r="F121" s="9">
        <v>8</v>
      </c>
      <c r="G121" s="3">
        <f t="shared" si="11"/>
        <v>0.53333333333333333</v>
      </c>
      <c r="H121" s="40">
        <v>25</v>
      </c>
      <c r="I121" s="9">
        <v>5</v>
      </c>
      <c r="K121" s="20">
        <f t="shared" si="20"/>
        <v>0</v>
      </c>
      <c r="L121" s="22">
        <f t="shared" si="21"/>
        <v>610</v>
      </c>
      <c r="M121" s="22">
        <f t="shared" si="13"/>
        <v>20</v>
      </c>
      <c r="N121" s="22">
        <f t="shared" si="22"/>
        <v>8</v>
      </c>
      <c r="O121" s="26">
        <f t="shared" si="15"/>
        <v>0.53333333333333333</v>
      </c>
      <c r="P121" s="26">
        <f t="shared" si="23"/>
        <v>0</v>
      </c>
    </row>
    <row r="122" spans="3:16" s="9" customFormat="1" x14ac:dyDescent="0.4">
      <c r="C122" s="11" t="s">
        <v>71</v>
      </c>
      <c r="D122" s="9">
        <v>908</v>
      </c>
      <c r="E122">
        <v>15</v>
      </c>
      <c r="F122" s="9">
        <v>6</v>
      </c>
      <c r="G122" s="3">
        <f t="shared" si="11"/>
        <v>0.4</v>
      </c>
      <c r="H122" s="40">
        <v>27</v>
      </c>
      <c r="I122" s="9">
        <v>19</v>
      </c>
      <c r="K122" s="20">
        <f t="shared" si="20"/>
        <v>0</v>
      </c>
      <c r="L122" s="22">
        <f t="shared" si="21"/>
        <v>935</v>
      </c>
      <c r="M122" s="22">
        <f t="shared" si="13"/>
        <v>34</v>
      </c>
      <c r="N122" s="22">
        <f t="shared" si="22"/>
        <v>6</v>
      </c>
      <c r="O122" s="26">
        <f t="shared" si="15"/>
        <v>0.4</v>
      </c>
      <c r="P122" s="26">
        <f t="shared" si="23"/>
        <v>0</v>
      </c>
    </row>
    <row r="123" spans="3:16" s="9" customFormat="1" x14ac:dyDescent="0.4">
      <c r="C123" s="11" t="s">
        <v>72</v>
      </c>
      <c r="D123" s="9">
        <v>930</v>
      </c>
      <c r="E123">
        <v>14</v>
      </c>
      <c r="F123" s="9">
        <v>11</v>
      </c>
      <c r="G123" s="3">
        <f t="shared" si="11"/>
        <v>0.7857142857142857</v>
      </c>
      <c r="H123" s="40">
        <v>22</v>
      </c>
      <c r="I123" s="9">
        <v>16</v>
      </c>
      <c r="K123" s="20">
        <f t="shared" si="20"/>
        <v>0</v>
      </c>
      <c r="L123" s="22">
        <f t="shared" si="21"/>
        <v>952</v>
      </c>
      <c r="M123" s="22">
        <f t="shared" si="13"/>
        <v>30</v>
      </c>
      <c r="N123" s="22">
        <f t="shared" si="22"/>
        <v>11</v>
      </c>
      <c r="O123" s="26">
        <f t="shared" si="15"/>
        <v>0.7857142857142857</v>
      </c>
      <c r="P123" s="26">
        <f t="shared" si="23"/>
        <v>0</v>
      </c>
    </row>
    <row r="124" spans="3:16" s="9" customFormat="1" x14ac:dyDescent="0.4">
      <c r="C124" s="11" t="s">
        <v>10</v>
      </c>
      <c r="D124" s="9">
        <v>729</v>
      </c>
      <c r="E124" s="9">
        <v>14</v>
      </c>
      <c r="F124" s="9">
        <v>10</v>
      </c>
      <c r="G124" s="3">
        <f t="shared" si="11"/>
        <v>0.7142857142857143</v>
      </c>
      <c r="H124" s="40">
        <v>34</v>
      </c>
      <c r="I124" s="9">
        <v>5</v>
      </c>
      <c r="K124" s="20">
        <f t="shared" si="20"/>
        <v>0</v>
      </c>
      <c r="L124" s="22">
        <f t="shared" si="21"/>
        <v>763</v>
      </c>
      <c r="M124" s="22">
        <f t="shared" si="13"/>
        <v>19</v>
      </c>
      <c r="N124" s="22">
        <f t="shared" si="22"/>
        <v>10</v>
      </c>
      <c r="O124" s="26">
        <f t="shared" si="15"/>
        <v>0.7142857142857143</v>
      </c>
      <c r="P124" s="26">
        <f t="shared" si="23"/>
        <v>0</v>
      </c>
    </row>
    <row r="125" spans="3:16" s="9" customFormat="1" x14ac:dyDescent="0.4">
      <c r="C125" s="11" t="s">
        <v>11</v>
      </c>
      <c r="D125" s="9">
        <v>742</v>
      </c>
      <c r="E125" s="9">
        <v>12</v>
      </c>
      <c r="F125" s="9">
        <v>10</v>
      </c>
      <c r="G125" s="3">
        <f t="shared" si="11"/>
        <v>0.83333333333333337</v>
      </c>
      <c r="H125" s="40">
        <v>14</v>
      </c>
      <c r="I125" s="9">
        <v>12</v>
      </c>
      <c r="K125" s="20">
        <f t="shared" si="20"/>
        <v>0</v>
      </c>
      <c r="L125" s="22">
        <f t="shared" si="21"/>
        <v>756</v>
      </c>
      <c r="M125" s="22">
        <f t="shared" si="13"/>
        <v>24</v>
      </c>
      <c r="N125" s="22">
        <f t="shared" si="22"/>
        <v>10</v>
      </c>
      <c r="O125" s="26">
        <f t="shared" si="15"/>
        <v>0.83333333333333337</v>
      </c>
      <c r="P125" s="26">
        <f t="shared" si="23"/>
        <v>0</v>
      </c>
    </row>
    <row r="126" spans="3:16" s="9" customFormat="1" x14ac:dyDescent="0.4">
      <c r="C126" s="11" t="s">
        <v>12</v>
      </c>
      <c r="D126" s="9">
        <v>729</v>
      </c>
      <c r="E126" s="9">
        <v>24</v>
      </c>
      <c r="F126" s="9">
        <v>5</v>
      </c>
      <c r="G126" s="3">
        <f t="shared" si="11"/>
        <v>0.20833333333333334</v>
      </c>
      <c r="H126" s="41">
        <v>25</v>
      </c>
      <c r="I126" s="9">
        <v>16</v>
      </c>
      <c r="K126" s="20">
        <f t="shared" si="20"/>
        <v>0</v>
      </c>
      <c r="L126" s="22">
        <f t="shared" si="21"/>
        <v>754</v>
      </c>
      <c r="M126" s="22">
        <f t="shared" si="13"/>
        <v>40</v>
      </c>
      <c r="N126" s="22">
        <f t="shared" si="22"/>
        <v>5</v>
      </c>
      <c r="O126" s="26">
        <f t="shared" si="15"/>
        <v>0.20833333333333334</v>
      </c>
      <c r="P126" s="26">
        <f t="shared" si="23"/>
        <v>0</v>
      </c>
    </row>
    <row r="127" spans="3:16" s="9" customFormat="1" x14ac:dyDescent="0.4">
      <c r="C127" s="11" t="s">
        <v>13</v>
      </c>
      <c r="G127" s="3" t="e">
        <f t="shared" si="11"/>
        <v>#DIV/0!</v>
      </c>
      <c r="K127" s="20" t="e">
        <f t="shared" si="20"/>
        <v>#DIV/0!</v>
      </c>
      <c r="L127" s="22">
        <f t="shared" si="21"/>
        <v>0</v>
      </c>
      <c r="M127" s="22">
        <f t="shared" si="13"/>
        <v>0</v>
      </c>
      <c r="N127" s="22">
        <f t="shared" si="22"/>
        <v>0</v>
      </c>
      <c r="O127" s="26" t="e">
        <f t="shared" si="15"/>
        <v>#DIV/0!</v>
      </c>
      <c r="P127" s="26" t="e">
        <f t="shared" si="23"/>
        <v>#DIV/0!</v>
      </c>
    </row>
    <row r="128" spans="3:16" s="9" customFormat="1" x14ac:dyDescent="0.4">
      <c r="C128" s="11" t="s">
        <v>14</v>
      </c>
      <c r="G128" s="3" t="e">
        <f t="shared" si="11"/>
        <v>#DIV/0!</v>
      </c>
      <c r="K128" s="20" t="e">
        <f t="shared" si="20"/>
        <v>#DIV/0!</v>
      </c>
      <c r="L128" s="22">
        <f t="shared" si="21"/>
        <v>0</v>
      </c>
      <c r="M128" s="22">
        <f t="shared" si="13"/>
        <v>0</v>
      </c>
      <c r="N128" s="22">
        <f t="shared" si="22"/>
        <v>0</v>
      </c>
      <c r="O128" s="26" t="e">
        <f t="shared" si="15"/>
        <v>#DIV/0!</v>
      </c>
      <c r="P128" s="26" t="e">
        <f t="shared" si="23"/>
        <v>#DIV/0!</v>
      </c>
    </row>
    <row r="129" spans="2:16" s="9" customFormat="1" x14ac:dyDescent="0.4">
      <c r="C129" s="11" t="s">
        <v>15</v>
      </c>
      <c r="G129" s="3" t="e">
        <f t="shared" si="11"/>
        <v>#DIV/0!</v>
      </c>
      <c r="K129" s="20" t="e">
        <f t="shared" si="20"/>
        <v>#DIV/0!</v>
      </c>
      <c r="L129" s="22">
        <f t="shared" si="21"/>
        <v>0</v>
      </c>
      <c r="M129" s="22">
        <f t="shared" si="13"/>
        <v>0</v>
      </c>
      <c r="N129" s="22">
        <f t="shared" si="22"/>
        <v>0</v>
      </c>
      <c r="O129" s="26" t="e">
        <f t="shared" si="15"/>
        <v>#DIV/0!</v>
      </c>
      <c r="P129" s="26" t="e">
        <f t="shared" si="23"/>
        <v>#DIV/0!</v>
      </c>
    </row>
    <row r="130" spans="2:16" s="9" customFormat="1" x14ac:dyDescent="0.4">
      <c r="C130" s="11" t="s">
        <v>73</v>
      </c>
      <c r="G130" s="3" t="e">
        <f t="shared" si="11"/>
        <v>#DIV/0!</v>
      </c>
      <c r="K130" s="20" t="e">
        <f t="shared" si="20"/>
        <v>#DIV/0!</v>
      </c>
      <c r="L130" s="22">
        <f t="shared" si="21"/>
        <v>0</v>
      </c>
      <c r="M130" s="22">
        <f t="shared" si="13"/>
        <v>0</v>
      </c>
      <c r="N130" s="22">
        <f t="shared" si="22"/>
        <v>0</v>
      </c>
      <c r="O130" s="26" t="e">
        <f t="shared" si="15"/>
        <v>#DIV/0!</v>
      </c>
      <c r="P130" s="26" t="e">
        <f t="shared" si="23"/>
        <v>#DIV/0!</v>
      </c>
    </row>
    <row r="131" spans="2:16" s="9" customFormat="1" x14ac:dyDescent="0.4">
      <c r="C131" s="11" t="s">
        <v>74</v>
      </c>
      <c r="G131" s="3" t="e">
        <f t="shared" si="11"/>
        <v>#DIV/0!</v>
      </c>
      <c r="K131" s="20" t="e">
        <f t="shared" si="20"/>
        <v>#DIV/0!</v>
      </c>
      <c r="L131" s="22">
        <f t="shared" si="21"/>
        <v>0</v>
      </c>
      <c r="M131" s="22">
        <f t="shared" si="13"/>
        <v>0</v>
      </c>
      <c r="N131" s="22">
        <f t="shared" si="22"/>
        <v>0</v>
      </c>
      <c r="O131" s="26" t="e">
        <f t="shared" si="15"/>
        <v>#DIV/0!</v>
      </c>
      <c r="P131" s="26" t="e">
        <f t="shared" si="23"/>
        <v>#DIV/0!</v>
      </c>
    </row>
    <row r="132" spans="2:16" s="9" customFormat="1" x14ac:dyDescent="0.4">
      <c r="C132" s="11" t="s">
        <v>75</v>
      </c>
      <c r="G132" s="3" t="e">
        <f t="shared" si="11"/>
        <v>#DIV/0!</v>
      </c>
      <c r="K132" s="20" t="e">
        <f t="shared" si="20"/>
        <v>#DIV/0!</v>
      </c>
      <c r="L132" s="22">
        <f t="shared" si="21"/>
        <v>0</v>
      </c>
      <c r="M132" s="22">
        <f t="shared" si="13"/>
        <v>0</v>
      </c>
      <c r="N132" s="22">
        <f t="shared" si="22"/>
        <v>0</v>
      </c>
      <c r="O132" s="26" t="e">
        <f t="shared" si="15"/>
        <v>#DIV/0!</v>
      </c>
      <c r="P132" s="26" t="e">
        <f t="shared" si="23"/>
        <v>#DIV/0!</v>
      </c>
    </row>
    <row r="133" spans="2:16" s="9" customFormat="1" x14ac:dyDescent="0.4">
      <c r="C133" s="11" t="s">
        <v>76</v>
      </c>
      <c r="G133" s="3" t="e">
        <f t="shared" si="11"/>
        <v>#DIV/0!</v>
      </c>
      <c r="K133" s="20" t="e">
        <f t="shared" si="20"/>
        <v>#DIV/0!</v>
      </c>
      <c r="L133" s="22">
        <f t="shared" si="21"/>
        <v>0</v>
      </c>
      <c r="M133" s="22">
        <f t="shared" si="13"/>
        <v>0</v>
      </c>
      <c r="N133" s="22">
        <f t="shared" si="22"/>
        <v>0</v>
      </c>
      <c r="O133" s="26" t="e">
        <f t="shared" si="15"/>
        <v>#DIV/0!</v>
      </c>
      <c r="P133" s="26" t="e">
        <f t="shared" si="23"/>
        <v>#DIV/0!</v>
      </c>
    </row>
    <row r="134" spans="2:16" s="9" customFormat="1" x14ac:dyDescent="0.4">
      <c r="C134" s="11" t="s">
        <v>77</v>
      </c>
      <c r="G134" s="3" t="e">
        <f t="shared" si="11"/>
        <v>#DIV/0!</v>
      </c>
      <c r="K134" s="20" t="e">
        <f t="shared" si="20"/>
        <v>#DIV/0!</v>
      </c>
      <c r="L134" s="22">
        <f t="shared" si="21"/>
        <v>0</v>
      </c>
      <c r="M134" s="22">
        <f t="shared" si="13"/>
        <v>0</v>
      </c>
      <c r="N134" s="22">
        <f t="shared" si="22"/>
        <v>0</v>
      </c>
      <c r="O134" s="26" t="e">
        <f t="shared" si="15"/>
        <v>#DIV/0!</v>
      </c>
      <c r="P134" s="26" t="e">
        <f t="shared" si="23"/>
        <v>#DIV/0!</v>
      </c>
    </row>
    <row r="135" spans="2:16" s="9" customFormat="1" x14ac:dyDescent="0.4">
      <c r="C135" s="11" t="s">
        <v>78</v>
      </c>
      <c r="G135" s="3" t="e">
        <f t="shared" si="11"/>
        <v>#DIV/0!</v>
      </c>
      <c r="K135" s="20" t="e">
        <f t="shared" si="20"/>
        <v>#DIV/0!</v>
      </c>
      <c r="L135" s="22">
        <f t="shared" si="21"/>
        <v>0</v>
      </c>
      <c r="M135" s="22">
        <f t="shared" si="13"/>
        <v>0</v>
      </c>
      <c r="N135" s="22">
        <f t="shared" si="22"/>
        <v>0</v>
      </c>
      <c r="O135" s="26" t="e">
        <f t="shared" si="15"/>
        <v>#DIV/0!</v>
      </c>
      <c r="P135" s="26" t="e">
        <f t="shared" si="23"/>
        <v>#DIV/0!</v>
      </c>
    </row>
    <row r="136" spans="2:16" s="9" customFormat="1" x14ac:dyDescent="0.4">
      <c r="C136" s="11" t="s">
        <v>79</v>
      </c>
      <c r="O136" s="35"/>
      <c r="P136" s="35"/>
    </row>
    <row r="137" spans="2:16" s="9" customFormat="1" x14ac:dyDescent="0.4">
      <c r="C137" s="11" t="s">
        <v>80</v>
      </c>
      <c r="O137" s="35"/>
      <c r="P137" s="35"/>
    </row>
    <row r="138" spans="2:16" s="9" customFormat="1" x14ac:dyDescent="0.4">
      <c r="C138" s="11" t="s">
        <v>81</v>
      </c>
      <c r="O138" s="35"/>
      <c r="P138" s="35"/>
    </row>
    <row r="139" spans="2:16" s="9" customFormat="1" x14ac:dyDescent="0.4">
      <c r="O139" s="35"/>
      <c r="P139" s="35"/>
    </row>
    <row r="143" spans="2:16" x14ac:dyDescent="0.4">
      <c r="B143" s="49" t="s">
        <v>35</v>
      </c>
      <c r="C143" s="49"/>
      <c r="D143" s="49"/>
      <c r="E143" s="49"/>
      <c r="F143" s="49"/>
      <c r="G143" s="49"/>
    </row>
    <row r="144" spans="2:16" ht="80" x14ac:dyDescent="0.4">
      <c r="B144" s="11"/>
      <c r="C144" s="11"/>
      <c r="D144" s="38" t="s">
        <v>54</v>
      </c>
      <c r="E144" s="38" t="s">
        <v>56</v>
      </c>
      <c r="F144" s="36" t="s">
        <v>55</v>
      </c>
      <c r="G144" s="36" t="s">
        <v>57</v>
      </c>
    </row>
    <row r="145" spans="2:7" x14ac:dyDescent="0.4">
      <c r="B145" s="48">
        <v>2024</v>
      </c>
      <c r="C145" s="12" t="s">
        <v>10</v>
      </c>
      <c r="D145" s="37">
        <f t="shared" ref="D145:D189" si="24">O7</f>
        <v>8.3333333333333329E-2</v>
      </c>
      <c r="E145" s="37"/>
      <c r="F145" s="37">
        <f t="shared" ref="F145:F192" si="25">O72</f>
        <v>0</v>
      </c>
      <c r="G145" s="37"/>
    </row>
    <row r="146" spans="2:7" x14ac:dyDescent="0.4">
      <c r="B146" s="48"/>
      <c r="C146" s="12" t="s">
        <v>11</v>
      </c>
      <c r="D146" s="37">
        <f t="shared" si="24"/>
        <v>0.18181818181818182</v>
      </c>
      <c r="E146" s="37"/>
      <c r="F146" s="37">
        <f t="shared" si="25"/>
        <v>0</v>
      </c>
      <c r="G146" s="37"/>
    </row>
    <row r="147" spans="2:7" x14ac:dyDescent="0.4">
      <c r="B147" s="48"/>
      <c r="C147" s="12" t="s">
        <v>12</v>
      </c>
      <c r="D147" s="37">
        <f t="shared" si="24"/>
        <v>0.6</v>
      </c>
      <c r="E147" s="37"/>
      <c r="F147" s="37">
        <f t="shared" si="25"/>
        <v>0</v>
      </c>
      <c r="G147" s="37"/>
    </row>
    <row r="148" spans="2:7" x14ac:dyDescent="0.4">
      <c r="B148" s="48"/>
      <c r="C148" s="12" t="s">
        <v>13</v>
      </c>
      <c r="D148" s="37">
        <f t="shared" si="24"/>
        <v>0</v>
      </c>
      <c r="E148" s="37"/>
      <c r="F148" s="37">
        <f t="shared" si="25"/>
        <v>0</v>
      </c>
      <c r="G148" s="37"/>
    </row>
    <row r="149" spans="2:7" x14ac:dyDescent="0.4">
      <c r="B149" s="48"/>
      <c r="C149" s="12" t="s">
        <v>14</v>
      </c>
      <c r="D149" s="37">
        <f t="shared" si="24"/>
        <v>0.42857142857142855</v>
      </c>
      <c r="E149" s="37"/>
      <c r="F149" s="37">
        <f t="shared" si="25"/>
        <v>0</v>
      </c>
      <c r="G149" s="37"/>
    </row>
    <row r="150" spans="2:7" x14ac:dyDescent="0.4">
      <c r="B150" s="48"/>
      <c r="C150" s="12" t="s">
        <v>15</v>
      </c>
      <c r="D150" s="37" t="e">
        <f t="shared" si="24"/>
        <v>#DIV/0!</v>
      </c>
      <c r="E150" s="37"/>
      <c r="F150" s="37" t="e">
        <f t="shared" si="25"/>
        <v>#DIV/0!</v>
      </c>
      <c r="G150" s="37"/>
    </row>
    <row r="151" spans="2:7" x14ac:dyDescent="0.4">
      <c r="B151" s="48">
        <v>2025</v>
      </c>
      <c r="C151" s="11" t="s">
        <v>16</v>
      </c>
      <c r="D151" s="37">
        <f t="shared" si="24"/>
        <v>0</v>
      </c>
      <c r="E151" s="37"/>
      <c r="F151" s="37">
        <f t="shared" si="25"/>
        <v>0</v>
      </c>
      <c r="G151" s="37"/>
    </row>
    <row r="152" spans="2:7" x14ac:dyDescent="0.4">
      <c r="B152" s="48"/>
      <c r="C152" s="11" t="s">
        <v>17</v>
      </c>
      <c r="D152" s="37">
        <f t="shared" si="24"/>
        <v>9.0909090909090912E-2</v>
      </c>
      <c r="E152" s="37"/>
      <c r="F152" s="37">
        <f t="shared" si="25"/>
        <v>0</v>
      </c>
      <c r="G152" s="37"/>
    </row>
    <row r="153" spans="2:7" x14ac:dyDescent="0.4">
      <c r="B153" s="48"/>
      <c r="C153" s="11" t="s">
        <v>18</v>
      </c>
      <c r="D153" s="37">
        <f t="shared" si="24"/>
        <v>0</v>
      </c>
      <c r="E153" s="37"/>
      <c r="F153" s="37">
        <f t="shared" si="25"/>
        <v>0</v>
      </c>
      <c r="G153" s="37"/>
    </row>
    <row r="154" spans="2:7" x14ac:dyDescent="0.4">
      <c r="B154" s="48"/>
      <c r="C154" s="11" t="s">
        <v>19</v>
      </c>
      <c r="D154" s="37" t="e">
        <f t="shared" si="24"/>
        <v>#DIV/0!</v>
      </c>
      <c r="E154" s="37"/>
      <c r="F154" s="37" t="e">
        <f t="shared" si="25"/>
        <v>#DIV/0!</v>
      </c>
      <c r="G154" s="37"/>
    </row>
    <row r="155" spans="2:7" x14ac:dyDescent="0.4">
      <c r="B155" s="48"/>
      <c r="C155" s="11" t="s">
        <v>20</v>
      </c>
      <c r="D155" s="37">
        <f t="shared" si="24"/>
        <v>0</v>
      </c>
      <c r="E155" s="37"/>
      <c r="F155" s="37">
        <f t="shared" si="25"/>
        <v>0</v>
      </c>
      <c r="G155" s="37"/>
    </row>
    <row r="156" spans="2:7" x14ac:dyDescent="0.4">
      <c r="B156" s="48"/>
      <c r="C156" s="11" t="s">
        <v>21</v>
      </c>
      <c r="D156" s="37">
        <f t="shared" si="24"/>
        <v>4.7619047619047616E-2</v>
      </c>
      <c r="E156" s="37"/>
      <c r="F156" s="37">
        <f t="shared" si="25"/>
        <v>0</v>
      </c>
      <c r="G156" s="37"/>
    </row>
    <row r="157" spans="2:7" x14ac:dyDescent="0.4">
      <c r="B157" s="48"/>
      <c r="C157" s="11" t="s">
        <v>22</v>
      </c>
      <c r="D157" s="37">
        <f t="shared" si="24"/>
        <v>0</v>
      </c>
      <c r="E157" s="37"/>
      <c r="F157" s="37">
        <f t="shared" si="25"/>
        <v>7.1428571428571425E-2</v>
      </c>
      <c r="G157" s="37"/>
    </row>
    <row r="158" spans="2:7" x14ac:dyDescent="0.4">
      <c r="B158" s="48"/>
      <c r="C158" s="11" t="s">
        <v>0</v>
      </c>
      <c r="D158" s="37">
        <f t="shared" si="24"/>
        <v>0</v>
      </c>
      <c r="E158" s="37">
        <f t="shared" ref="E158:E189" si="26">P20</f>
        <v>0</v>
      </c>
      <c r="F158" s="37">
        <f t="shared" si="25"/>
        <v>0</v>
      </c>
      <c r="G158" s="37">
        <f t="shared" ref="G158:G192" si="27">P85</f>
        <v>0</v>
      </c>
    </row>
    <row r="159" spans="2:7" x14ac:dyDescent="0.4">
      <c r="B159" s="48"/>
      <c r="C159" s="11" t="s">
        <v>1</v>
      </c>
      <c r="D159" s="37">
        <f t="shared" si="24"/>
        <v>0</v>
      </c>
      <c r="E159" s="37">
        <f t="shared" si="26"/>
        <v>0</v>
      </c>
      <c r="F159" s="37">
        <f t="shared" si="25"/>
        <v>0</v>
      </c>
      <c r="G159" s="37">
        <f t="shared" si="27"/>
        <v>0</v>
      </c>
    </row>
    <row r="160" spans="2:7" x14ac:dyDescent="0.4">
      <c r="B160" s="48"/>
      <c r="C160" s="11" t="s">
        <v>2</v>
      </c>
      <c r="D160" s="37">
        <f t="shared" si="24"/>
        <v>3.8461538461538464E-2</v>
      </c>
      <c r="E160" s="37">
        <f t="shared" si="26"/>
        <v>0</v>
      </c>
      <c r="F160" s="37">
        <f t="shared" si="25"/>
        <v>0</v>
      </c>
      <c r="G160" s="37">
        <f t="shared" si="27"/>
        <v>0</v>
      </c>
    </row>
    <row r="161" spans="2:7" x14ac:dyDescent="0.4">
      <c r="B161" s="48"/>
      <c r="C161" s="11" t="s">
        <v>3</v>
      </c>
      <c r="D161" s="37">
        <f t="shared" si="24"/>
        <v>0</v>
      </c>
      <c r="E161" s="37">
        <f t="shared" si="26"/>
        <v>0</v>
      </c>
      <c r="F161" s="37">
        <f t="shared" si="25"/>
        <v>0</v>
      </c>
      <c r="G161" s="37">
        <f t="shared" si="27"/>
        <v>0</v>
      </c>
    </row>
    <row r="162" spans="2:7" x14ac:dyDescent="0.4">
      <c r="B162" s="48"/>
      <c r="C162" s="11" t="s">
        <v>4</v>
      </c>
      <c r="D162" s="37">
        <f t="shared" si="24"/>
        <v>0</v>
      </c>
      <c r="E162" s="37">
        <f t="shared" si="26"/>
        <v>9.0909090909090912E-2</v>
      </c>
      <c r="F162" s="37">
        <f t="shared" si="25"/>
        <v>8.3333333333333329E-2</v>
      </c>
      <c r="G162" s="37">
        <f t="shared" si="27"/>
        <v>0.18181818181818182</v>
      </c>
    </row>
    <row r="163" spans="2:7" x14ac:dyDescent="0.4">
      <c r="B163" s="48"/>
      <c r="C163" s="11" t="s">
        <v>5</v>
      </c>
      <c r="D163" s="37">
        <f t="shared" si="24"/>
        <v>0</v>
      </c>
      <c r="E163" s="37">
        <f t="shared" si="26"/>
        <v>0</v>
      </c>
      <c r="F163" s="37">
        <f t="shared" si="25"/>
        <v>6.6666666666666666E-2</v>
      </c>
      <c r="G163" s="37">
        <f t="shared" si="27"/>
        <v>0</v>
      </c>
    </row>
    <row r="164" spans="2:7" x14ac:dyDescent="0.4">
      <c r="B164" s="48"/>
      <c r="C164" s="11" t="s">
        <v>6</v>
      </c>
      <c r="D164" s="37">
        <f t="shared" si="24"/>
        <v>0</v>
      </c>
      <c r="E164" s="37">
        <f t="shared" si="26"/>
        <v>0</v>
      </c>
      <c r="F164" s="37">
        <f t="shared" si="25"/>
        <v>0.16666666666666666</v>
      </c>
      <c r="G164" s="37">
        <f t="shared" si="27"/>
        <v>0</v>
      </c>
    </row>
    <row r="165" spans="2:7" x14ac:dyDescent="0.4">
      <c r="B165" s="48"/>
      <c r="C165" s="11" t="s">
        <v>7</v>
      </c>
      <c r="D165" s="37">
        <f t="shared" si="24"/>
        <v>0</v>
      </c>
      <c r="E165" s="37">
        <f t="shared" si="26"/>
        <v>0</v>
      </c>
      <c r="F165" s="37">
        <f t="shared" si="25"/>
        <v>0</v>
      </c>
      <c r="G165" s="37">
        <f t="shared" si="27"/>
        <v>0</v>
      </c>
    </row>
    <row r="166" spans="2:7" x14ac:dyDescent="0.4">
      <c r="B166" s="48"/>
      <c r="C166" s="11" t="s">
        <v>25</v>
      </c>
      <c r="D166" s="37">
        <f t="shared" si="24"/>
        <v>0</v>
      </c>
      <c r="E166" s="37">
        <f t="shared" si="26"/>
        <v>0</v>
      </c>
      <c r="F166" s="37">
        <f t="shared" si="25"/>
        <v>0.2</v>
      </c>
      <c r="G166" s="37">
        <f t="shared" si="27"/>
        <v>0</v>
      </c>
    </row>
    <row r="167" spans="2:7" x14ac:dyDescent="0.4">
      <c r="B167" s="48"/>
      <c r="C167" s="11" t="s">
        <v>26</v>
      </c>
      <c r="D167" s="37">
        <f t="shared" si="24"/>
        <v>0</v>
      </c>
      <c r="E167" s="37">
        <f t="shared" si="26"/>
        <v>0</v>
      </c>
      <c r="F167" s="37">
        <f t="shared" si="25"/>
        <v>0</v>
      </c>
      <c r="G167" s="37">
        <f t="shared" si="27"/>
        <v>0</v>
      </c>
    </row>
    <row r="168" spans="2:7" x14ac:dyDescent="0.4">
      <c r="B168" s="48"/>
      <c r="C168" s="11" t="s">
        <v>27</v>
      </c>
      <c r="D168" s="37">
        <f t="shared" si="24"/>
        <v>4.3478260869565216E-2</v>
      </c>
      <c r="E168" s="37">
        <f t="shared" si="26"/>
        <v>0</v>
      </c>
      <c r="F168" s="37">
        <f t="shared" si="25"/>
        <v>0.2608695652173913</v>
      </c>
      <c r="G168" s="37">
        <f t="shared" si="27"/>
        <v>0</v>
      </c>
    </row>
    <row r="169" spans="2:7" x14ac:dyDescent="0.4">
      <c r="B169" s="48"/>
      <c r="C169" s="11" t="s">
        <v>28</v>
      </c>
      <c r="D169" s="37">
        <f t="shared" si="24"/>
        <v>3.8461538461538464E-2</v>
      </c>
      <c r="E169" s="37" t="e">
        <f t="shared" si="26"/>
        <v>#DIV/0!</v>
      </c>
      <c r="F169" s="37">
        <f t="shared" si="25"/>
        <v>0.26923076923076922</v>
      </c>
      <c r="G169" s="37" t="e">
        <f t="shared" si="27"/>
        <v>#DIV/0!</v>
      </c>
    </row>
    <row r="170" spans="2:7" x14ac:dyDescent="0.4">
      <c r="B170" s="48"/>
      <c r="C170" s="11" t="s">
        <v>29</v>
      </c>
      <c r="D170" s="37">
        <f t="shared" si="24"/>
        <v>0</v>
      </c>
      <c r="E170" s="37">
        <f t="shared" si="26"/>
        <v>7.1428571428571425E-2</v>
      </c>
      <c r="F170" s="37">
        <f t="shared" si="25"/>
        <v>0.12</v>
      </c>
      <c r="G170" s="37">
        <f t="shared" si="27"/>
        <v>0</v>
      </c>
    </row>
    <row r="171" spans="2:7" x14ac:dyDescent="0.4">
      <c r="B171" s="48"/>
      <c r="C171" s="11" t="s">
        <v>30</v>
      </c>
      <c r="D171" s="37">
        <f t="shared" si="24"/>
        <v>0</v>
      </c>
      <c r="E171" s="37">
        <f t="shared" si="26"/>
        <v>0</v>
      </c>
      <c r="F171" s="37">
        <f t="shared" si="25"/>
        <v>8.6956521739130432E-2</v>
      </c>
      <c r="G171" s="37">
        <f t="shared" si="27"/>
        <v>0</v>
      </c>
    </row>
    <row r="172" spans="2:7" x14ac:dyDescent="0.4">
      <c r="B172" s="48"/>
      <c r="C172" s="11" t="s">
        <v>31</v>
      </c>
      <c r="D172" s="37">
        <f t="shared" si="24"/>
        <v>0</v>
      </c>
      <c r="E172" s="37">
        <f t="shared" si="26"/>
        <v>0</v>
      </c>
      <c r="F172" s="37">
        <f t="shared" si="25"/>
        <v>0.04</v>
      </c>
      <c r="G172" s="37">
        <f t="shared" si="27"/>
        <v>4.3478260869565216E-2</v>
      </c>
    </row>
    <row r="173" spans="2:7" x14ac:dyDescent="0.4">
      <c r="B173" s="48"/>
      <c r="C173" s="11" t="s">
        <v>32</v>
      </c>
      <c r="D173" s="37">
        <f t="shared" si="24"/>
        <v>0.04</v>
      </c>
      <c r="E173" s="37">
        <f t="shared" si="26"/>
        <v>0</v>
      </c>
      <c r="F173" s="37">
        <f t="shared" si="25"/>
        <v>0.24</v>
      </c>
      <c r="G173" s="37">
        <f t="shared" si="27"/>
        <v>8.3333333333333329E-2</v>
      </c>
    </row>
    <row r="174" spans="2:7" x14ac:dyDescent="0.4">
      <c r="B174" s="48"/>
      <c r="C174" s="11" t="s">
        <v>33</v>
      </c>
      <c r="D174" s="37">
        <f t="shared" si="24"/>
        <v>0</v>
      </c>
      <c r="E174" s="37">
        <f t="shared" si="26"/>
        <v>0</v>
      </c>
      <c r="F174" s="37">
        <f t="shared" si="25"/>
        <v>0</v>
      </c>
      <c r="G174" s="37">
        <f t="shared" si="27"/>
        <v>8.3333333333333329E-2</v>
      </c>
    </row>
    <row r="175" spans="2:7" x14ac:dyDescent="0.4">
      <c r="B175" s="48"/>
      <c r="C175" s="11" t="s">
        <v>34</v>
      </c>
      <c r="D175" s="37">
        <f t="shared" si="24"/>
        <v>0</v>
      </c>
      <c r="E175" s="37">
        <f t="shared" si="26"/>
        <v>0</v>
      </c>
      <c r="F175" s="37">
        <f t="shared" si="25"/>
        <v>0</v>
      </c>
      <c r="G175" s="37">
        <f t="shared" si="27"/>
        <v>0</v>
      </c>
    </row>
    <row r="176" spans="2:7" x14ac:dyDescent="0.4">
      <c r="C176" s="11" t="s">
        <v>36</v>
      </c>
      <c r="D176" s="37">
        <f t="shared" si="24"/>
        <v>0</v>
      </c>
      <c r="E176" s="37">
        <f t="shared" si="26"/>
        <v>0</v>
      </c>
      <c r="F176" s="37">
        <f t="shared" si="25"/>
        <v>0.1111111111111111</v>
      </c>
      <c r="G176" s="37">
        <f t="shared" si="27"/>
        <v>5.2631578947368418E-2</v>
      </c>
    </row>
    <row r="177" spans="3:7" x14ac:dyDescent="0.4">
      <c r="C177" s="11" t="s">
        <v>37</v>
      </c>
      <c r="D177" s="37">
        <f t="shared" si="24"/>
        <v>0</v>
      </c>
      <c r="E177" s="37">
        <f t="shared" si="26"/>
        <v>0</v>
      </c>
      <c r="F177" s="37">
        <f t="shared" si="25"/>
        <v>0.12</v>
      </c>
      <c r="G177" s="37">
        <f t="shared" si="27"/>
        <v>0</v>
      </c>
    </row>
    <row r="178" spans="3:7" x14ac:dyDescent="0.4">
      <c r="C178" s="11" t="s">
        <v>38</v>
      </c>
      <c r="D178" s="37">
        <f t="shared" si="24"/>
        <v>0</v>
      </c>
      <c r="E178" s="37">
        <f t="shared" si="26"/>
        <v>0</v>
      </c>
      <c r="F178" s="37">
        <f t="shared" si="25"/>
        <v>0.04</v>
      </c>
      <c r="G178" s="37">
        <f t="shared" si="27"/>
        <v>5.5555555555555552E-2</v>
      </c>
    </row>
    <row r="179" spans="3:7" x14ac:dyDescent="0.4">
      <c r="C179" s="11" t="s">
        <v>39</v>
      </c>
      <c r="D179" s="37">
        <f t="shared" si="24"/>
        <v>0</v>
      </c>
      <c r="E179" s="37">
        <f t="shared" si="26"/>
        <v>0</v>
      </c>
      <c r="F179" s="37">
        <f t="shared" si="25"/>
        <v>8.3333333333333329E-2</v>
      </c>
      <c r="G179" s="37">
        <f t="shared" si="27"/>
        <v>4.3478260869565216E-2</v>
      </c>
    </row>
    <row r="180" spans="3:7" x14ac:dyDescent="0.4">
      <c r="C180" s="11" t="s">
        <v>40</v>
      </c>
      <c r="D180" s="37">
        <f t="shared" si="24"/>
        <v>0</v>
      </c>
      <c r="E180" s="37">
        <f t="shared" si="26"/>
        <v>0</v>
      </c>
      <c r="F180" s="37">
        <f t="shared" si="25"/>
        <v>0.16666666666666666</v>
      </c>
      <c r="G180" s="37">
        <f t="shared" si="27"/>
        <v>0.16666666666666666</v>
      </c>
    </row>
    <row r="181" spans="3:7" x14ac:dyDescent="0.4">
      <c r="C181" s="11" t="s">
        <v>41</v>
      </c>
      <c r="D181" s="37">
        <f t="shared" si="24"/>
        <v>0</v>
      </c>
      <c r="E181" s="37">
        <f t="shared" si="26"/>
        <v>0</v>
      </c>
      <c r="F181" s="37">
        <f t="shared" si="25"/>
        <v>5.8823529411764705E-2</v>
      </c>
      <c r="G181" s="37">
        <f t="shared" si="27"/>
        <v>0</v>
      </c>
    </row>
    <row r="182" spans="3:7" x14ac:dyDescent="0.4">
      <c r="C182" s="11" t="s">
        <v>58</v>
      </c>
      <c r="D182" s="37">
        <f t="shared" si="24"/>
        <v>0</v>
      </c>
      <c r="E182" s="37">
        <f t="shared" si="26"/>
        <v>0</v>
      </c>
      <c r="F182" s="37">
        <f t="shared" si="25"/>
        <v>0.1875</v>
      </c>
      <c r="G182" s="37">
        <f t="shared" si="27"/>
        <v>0</v>
      </c>
    </row>
    <row r="183" spans="3:7" x14ac:dyDescent="0.4">
      <c r="C183" s="11" t="s">
        <v>59</v>
      </c>
      <c r="D183" s="37">
        <f t="shared" si="24"/>
        <v>0</v>
      </c>
      <c r="E183" s="37">
        <f t="shared" si="26"/>
        <v>0</v>
      </c>
      <c r="F183" s="37">
        <f t="shared" si="25"/>
        <v>7.6923076923076927E-2</v>
      </c>
      <c r="G183" s="37">
        <f t="shared" si="27"/>
        <v>0</v>
      </c>
    </row>
    <row r="184" spans="3:7" x14ac:dyDescent="0.4">
      <c r="C184" s="11" t="s">
        <v>60</v>
      </c>
      <c r="D184" s="37">
        <f t="shared" si="24"/>
        <v>0</v>
      </c>
      <c r="E184" s="37">
        <f t="shared" si="26"/>
        <v>0</v>
      </c>
      <c r="F184" s="37">
        <f t="shared" si="25"/>
        <v>6.6666666666666666E-2</v>
      </c>
      <c r="G184" s="37">
        <f t="shared" si="27"/>
        <v>0</v>
      </c>
    </row>
    <row r="185" spans="3:7" x14ac:dyDescent="0.4">
      <c r="C185" s="11" t="s">
        <v>61</v>
      </c>
      <c r="D185" s="37">
        <f t="shared" si="24"/>
        <v>0</v>
      </c>
      <c r="E185" s="37">
        <f t="shared" si="26"/>
        <v>0</v>
      </c>
      <c r="F185" s="37">
        <f t="shared" si="25"/>
        <v>0</v>
      </c>
      <c r="G185" s="37">
        <f t="shared" si="27"/>
        <v>0</v>
      </c>
    </row>
    <row r="186" spans="3:7" x14ac:dyDescent="0.4">
      <c r="C186" s="11" t="s">
        <v>62</v>
      </c>
      <c r="D186" s="37">
        <f t="shared" si="24"/>
        <v>0</v>
      </c>
      <c r="E186" s="37">
        <f t="shared" si="26"/>
        <v>0</v>
      </c>
      <c r="F186" s="37">
        <f t="shared" si="25"/>
        <v>0</v>
      </c>
      <c r="G186" s="37">
        <f t="shared" si="27"/>
        <v>0</v>
      </c>
    </row>
    <row r="187" spans="3:7" x14ac:dyDescent="0.4">
      <c r="C187" s="11" t="s">
        <v>63</v>
      </c>
      <c r="D187" s="37">
        <f t="shared" si="24"/>
        <v>0</v>
      </c>
      <c r="E187" s="37">
        <f t="shared" si="26"/>
        <v>0</v>
      </c>
      <c r="F187" s="37">
        <f t="shared" si="25"/>
        <v>0</v>
      </c>
      <c r="G187" s="37">
        <f t="shared" si="27"/>
        <v>0</v>
      </c>
    </row>
    <row r="188" spans="3:7" x14ac:dyDescent="0.4">
      <c r="C188" s="11" t="s">
        <v>64</v>
      </c>
      <c r="D188" s="37">
        <f t="shared" si="24"/>
        <v>6.6666666666666666E-2</v>
      </c>
      <c r="E188" s="37">
        <f t="shared" si="26"/>
        <v>0</v>
      </c>
      <c r="F188" s="37">
        <f t="shared" si="25"/>
        <v>0.13333333333333333</v>
      </c>
      <c r="G188" s="37">
        <f t="shared" si="27"/>
        <v>0</v>
      </c>
    </row>
    <row r="189" spans="3:7" x14ac:dyDescent="0.4">
      <c r="C189" s="11" t="s">
        <v>65</v>
      </c>
      <c r="D189" s="37">
        <f t="shared" si="24"/>
        <v>0</v>
      </c>
      <c r="E189" s="37">
        <f t="shared" si="26"/>
        <v>0</v>
      </c>
      <c r="F189" s="37">
        <f t="shared" si="25"/>
        <v>6.6666666666666666E-2</v>
      </c>
      <c r="G189" s="37">
        <f t="shared" si="27"/>
        <v>0</v>
      </c>
    </row>
    <row r="190" spans="3:7" x14ac:dyDescent="0.4">
      <c r="C190" s="11" t="s">
        <v>66</v>
      </c>
      <c r="D190" s="37" t="e">
        <f t="shared" ref="D190:E196" si="28">O64</f>
        <v>#DIV/0!</v>
      </c>
      <c r="E190" s="37" t="e">
        <f t="shared" si="28"/>
        <v>#DIV/0!</v>
      </c>
      <c r="F190" s="37">
        <f t="shared" si="25"/>
        <v>0</v>
      </c>
      <c r="G190" s="37">
        <f t="shared" si="27"/>
        <v>0</v>
      </c>
    </row>
    <row r="191" spans="3:7" x14ac:dyDescent="0.4">
      <c r="C191" s="11" t="s">
        <v>67</v>
      </c>
      <c r="D191" s="37" t="e">
        <f t="shared" si="28"/>
        <v>#DIV/0!</v>
      </c>
      <c r="E191" s="37" t="e">
        <f t="shared" si="28"/>
        <v>#DIV/0!</v>
      </c>
      <c r="F191" s="37">
        <f t="shared" si="25"/>
        <v>0</v>
      </c>
      <c r="G191" s="37">
        <f t="shared" si="27"/>
        <v>0</v>
      </c>
    </row>
    <row r="192" spans="3:7" x14ac:dyDescent="0.4">
      <c r="C192" s="11" t="s">
        <v>68</v>
      </c>
      <c r="D192" s="37" t="e">
        <f t="shared" si="28"/>
        <v>#DIV/0!</v>
      </c>
      <c r="E192" s="37" t="e">
        <f t="shared" si="28"/>
        <v>#DIV/0!</v>
      </c>
      <c r="F192" s="37">
        <f t="shared" si="25"/>
        <v>0.26666666666666666</v>
      </c>
      <c r="G192" s="37">
        <f t="shared" si="27"/>
        <v>0</v>
      </c>
    </row>
    <row r="193" spans="3:7" x14ac:dyDescent="0.4">
      <c r="C193" s="11" t="s">
        <v>69</v>
      </c>
      <c r="D193" s="37" t="e">
        <f t="shared" si="28"/>
        <v>#DIV/0!</v>
      </c>
      <c r="E193" s="37" t="e">
        <f t="shared" si="28"/>
        <v>#DIV/0!</v>
      </c>
      <c r="F193" s="37" t="e">
        <f t="shared" ref="F193:F196" si="29">O134</f>
        <v>#DIV/0!</v>
      </c>
      <c r="G193" s="37" t="e">
        <f t="shared" ref="G193:G196" si="30">P134</f>
        <v>#DIV/0!</v>
      </c>
    </row>
    <row r="194" spans="3:7" x14ac:dyDescent="0.4">
      <c r="C194" s="11" t="s">
        <v>70</v>
      </c>
      <c r="D194" s="37">
        <f t="shared" si="28"/>
        <v>0</v>
      </c>
      <c r="E194" s="37">
        <f t="shared" si="28"/>
        <v>0</v>
      </c>
      <c r="F194" s="37" t="e">
        <f t="shared" si="29"/>
        <v>#DIV/0!</v>
      </c>
      <c r="G194" s="37" t="e">
        <f t="shared" si="30"/>
        <v>#DIV/0!</v>
      </c>
    </row>
    <row r="195" spans="3:7" x14ac:dyDescent="0.4">
      <c r="C195" s="11" t="s">
        <v>71</v>
      </c>
      <c r="D195" s="37">
        <f t="shared" si="28"/>
        <v>0</v>
      </c>
      <c r="E195" s="37">
        <f t="shared" si="28"/>
        <v>0</v>
      </c>
      <c r="F195" s="37">
        <f t="shared" si="29"/>
        <v>0</v>
      </c>
      <c r="G195" s="37">
        <f t="shared" si="30"/>
        <v>0</v>
      </c>
    </row>
    <row r="196" spans="3:7" x14ac:dyDescent="0.4">
      <c r="C196" s="11" t="s">
        <v>72</v>
      </c>
      <c r="D196" s="37">
        <f t="shared" si="28"/>
        <v>0</v>
      </c>
      <c r="E196" s="37">
        <f t="shared" si="28"/>
        <v>0</v>
      </c>
      <c r="F196" s="37">
        <f t="shared" si="29"/>
        <v>0</v>
      </c>
      <c r="G196" s="37">
        <f t="shared" si="30"/>
        <v>0</v>
      </c>
    </row>
    <row r="197" spans="3:7" x14ac:dyDescent="0.4">
      <c r="C197" s="11" t="s">
        <v>10</v>
      </c>
    </row>
    <row r="198" spans="3:7" x14ac:dyDescent="0.4">
      <c r="C198" s="11" t="s">
        <v>11</v>
      </c>
    </row>
    <row r="199" spans="3:7" x14ac:dyDescent="0.4">
      <c r="C199" s="11" t="s">
        <v>12</v>
      </c>
    </row>
    <row r="200" spans="3:7" x14ac:dyDescent="0.4">
      <c r="C200" s="11" t="s">
        <v>13</v>
      </c>
    </row>
    <row r="201" spans="3:7" x14ac:dyDescent="0.4">
      <c r="C201" s="11" t="s">
        <v>14</v>
      </c>
    </row>
    <row r="202" spans="3:7" x14ac:dyDescent="0.4">
      <c r="C202" s="11" t="s">
        <v>15</v>
      </c>
    </row>
    <row r="203" spans="3:7" x14ac:dyDescent="0.4">
      <c r="C203" s="11" t="s">
        <v>73</v>
      </c>
    </row>
    <row r="204" spans="3:7" x14ac:dyDescent="0.4">
      <c r="C204" s="11" t="s">
        <v>74</v>
      </c>
    </row>
    <row r="205" spans="3:7" x14ac:dyDescent="0.4">
      <c r="C205" s="11" t="s">
        <v>75</v>
      </c>
    </row>
    <row r="206" spans="3:7" x14ac:dyDescent="0.4">
      <c r="C206" s="11" t="s">
        <v>76</v>
      </c>
    </row>
    <row r="207" spans="3:7" x14ac:dyDescent="0.4">
      <c r="C207" s="11" t="s">
        <v>77</v>
      </c>
    </row>
    <row r="208" spans="3:7" x14ac:dyDescent="0.4">
      <c r="C208" s="11" t="s">
        <v>78</v>
      </c>
    </row>
    <row r="209" spans="3:3" x14ac:dyDescent="0.4">
      <c r="C209" s="11" t="s">
        <v>79</v>
      </c>
    </row>
    <row r="210" spans="3:3" x14ac:dyDescent="0.4">
      <c r="C210" s="11" t="s">
        <v>80</v>
      </c>
    </row>
    <row r="211" spans="3:3" x14ac:dyDescent="0.4">
      <c r="C211" s="11" t="s">
        <v>81</v>
      </c>
    </row>
    <row r="212" spans="3:3" x14ac:dyDescent="0.4">
      <c r="C212" s="11" t="s">
        <v>82</v>
      </c>
    </row>
    <row r="213" spans="3:3" x14ac:dyDescent="0.4">
      <c r="C213" s="11" t="s">
        <v>83</v>
      </c>
    </row>
    <row r="214" spans="3:3" x14ac:dyDescent="0.4">
      <c r="C214" s="11" t="s">
        <v>84</v>
      </c>
    </row>
    <row r="215" spans="3:3" x14ac:dyDescent="0.4">
      <c r="C215" s="11" t="s">
        <v>85</v>
      </c>
    </row>
    <row r="216" spans="3:3" x14ac:dyDescent="0.4">
      <c r="C216" s="11" t="s">
        <v>86</v>
      </c>
    </row>
    <row r="217" spans="3:3" x14ac:dyDescent="0.4">
      <c r="C217" s="11" t="s">
        <v>87</v>
      </c>
    </row>
    <row r="218" spans="3:3" x14ac:dyDescent="0.4">
      <c r="C218" s="11" t="s">
        <v>88</v>
      </c>
    </row>
    <row r="219" spans="3:3" x14ac:dyDescent="0.4">
      <c r="C219" s="11" t="s">
        <v>89</v>
      </c>
    </row>
  </sheetData>
  <mergeCells count="15">
    <mergeCell ref="B145:B150"/>
    <mergeCell ref="B151:B175"/>
    <mergeCell ref="B143:G143"/>
    <mergeCell ref="L5:P5"/>
    <mergeCell ref="B70:C70"/>
    <mergeCell ref="L70:P70"/>
    <mergeCell ref="B78:B102"/>
    <mergeCell ref="B72:B77"/>
    <mergeCell ref="H5:K5"/>
    <mergeCell ref="E5:G5"/>
    <mergeCell ref="B7:B12"/>
    <mergeCell ref="H70:K70"/>
    <mergeCell ref="D70:G70"/>
    <mergeCell ref="B5:D5"/>
    <mergeCell ref="B13:B37"/>
  </mergeCells>
  <phoneticPr fontId="10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502D-0BC4-497E-8992-15593868791B}">
  <dimension ref="B2:I63"/>
  <sheetViews>
    <sheetView tabSelected="1" topLeftCell="C1" workbookViewId="0">
      <selection activeCell="M21" sqref="M21"/>
    </sheetView>
  </sheetViews>
  <sheetFormatPr defaultRowHeight="16" x14ac:dyDescent="0.4"/>
  <sheetData>
    <row r="2" spans="2:9" ht="80" x14ac:dyDescent="0.4">
      <c r="B2" s="21"/>
      <c r="C2" s="13"/>
      <c r="D2" s="46" t="s">
        <v>93</v>
      </c>
      <c r="E2" s="46" t="s">
        <v>96</v>
      </c>
      <c r="F2" s="46" t="s">
        <v>97</v>
      </c>
      <c r="G2" s="47" t="s">
        <v>94</v>
      </c>
      <c r="H2" s="47" t="s">
        <v>95</v>
      </c>
      <c r="I2" s="47" t="s">
        <v>98</v>
      </c>
    </row>
    <row r="3" spans="2:9" x14ac:dyDescent="0.4">
      <c r="B3" s="55">
        <v>2024</v>
      </c>
      <c r="C3" s="12" t="s">
        <v>10</v>
      </c>
      <c r="D3" s="23">
        <v>12</v>
      </c>
      <c r="E3" s="25">
        <v>0</v>
      </c>
      <c r="F3" s="17">
        <v>0</v>
      </c>
      <c r="G3" s="5"/>
      <c r="H3" s="5"/>
      <c r="I3" s="5"/>
    </row>
    <row r="4" spans="2:9" x14ac:dyDescent="0.4">
      <c r="B4" s="55"/>
      <c r="C4" s="12" t="s">
        <v>11</v>
      </c>
      <c r="D4" s="23">
        <v>11</v>
      </c>
      <c r="E4" s="25">
        <v>0</v>
      </c>
      <c r="F4" s="17">
        <v>0</v>
      </c>
      <c r="G4" s="5"/>
      <c r="H4" s="5"/>
      <c r="I4" s="5"/>
    </row>
    <row r="5" spans="2:9" x14ac:dyDescent="0.4">
      <c r="B5" s="55"/>
      <c r="C5" s="12" t="s">
        <v>12</v>
      </c>
      <c r="D5" s="23">
        <v>10</v>
      </c>
      <c r="E5" s="25">
        <v>0</v>
      </c>
      <c r="F5" s="17">
        <v>0</v>
      </c>
      <c r="G5" s="5"/>
      <c r="H5" s="5"/>
      <c r="I5" s="5"/>
    </row>
    <row r="6" spans="2:9" x14ac:dyDescent="0.4">
      <c r="B6" s="55"/>
      <c r="C6" s="12" t="s">
        <v>13</v>
      </c>
      <c r="D6" s="23">
        <v>1</v>
      </c>
      <c r="E6" s="25">
        <v>0</v>
      </c>
      <c r="F6" s="17">
        <v>0</v>
      </c>
      <c r="G6" s="5"/>
      <c r="H6" s="5"/>
      <c r="I6" s="5"/>
    </row>
    <row r="7" spans="2:9" x14ac:dyDescent="0.4">
      <c r="B7" s="55"/>
      <c r="C7" s="12" t="s">
        <v>14</v>
      </c>
      <c r="D7" s="23">
        <v>14</v>
      </c>
      <c r="E7" s="25">
        <v>0</v>
      </c>
      <c r="F7" s="17">
        <v>0</v>
      </c>
      <c r="G7" s="5"/>
      <c r="H7" s="5"/>
      <c r="I7" s="5"/>
    </row>
    <row r="8" spans="2:9" x14ac:dyDescent="0.4">
      <c r="B8" s="55"/>
      <c r="C8" s="12" t="s">
        <v>15</v>
      </c>
      <c r="D8" s="23">
        <v>0</v>
      </c>
      <c r="E8" s="25">
        <v>0</v>
      </c>
      <c r="F8" s="17" t="e">
        <v>#DIV/0!</v>
      </c>
      <c r="G8" s="5"/>
      <c r="H8" s="5"/>
      <c r="I8" s="5"/>
    </row>
    <row r="9" spans="2:9" x14ac:dyDescent="0.4">
      <c r="B9" s="59">
        <v>2025</v>
      </c>
      <c r="C9" s="11" t="s">
        <v>16</v>
      </c>
      <c r="D9" s="2">
        <v>2</v>
      </c>
      <c r="E9" s="2">
        <v>0</v>
      </c>
      <c r="F9" s="20">
        <v>0</v>
      </c>
      <c r="G9" s="6"/>
      <c r="H9" s="6"/>
      <c r="I9" s="19"/>
    </row>
    <row r="10" spans="2:9" x14ac:dyDescent="0.4">
      <c r="B10" s="60"/>
      <c r="C10" s="11" t="s">
        <v>17</v>
      </c>
      <c r="D10" s="2">
        <v>11</v>
      </c>
      <c r="E10" s="2">
        <v>0</v>
      </c>
      <c r="F10" s="20">
        <v>0</v>
      </c>
      <c r="G10" s="6"/>
      <c r="H10" s="6"/>
      <c r="I10" s="19"/>
    </row>
    <row r="11" spans="2:9" x14ac:dyDescent="0.4">
      <c r="B11" s="60"/>
      <c r="C11" s="11" t="s">
        <v>18</v>
      </c>
      <c r="D11" s="2">
        <v>6</v>
      </c>
      <c r="E11" s="2">
        <v>0</v>
      </c>
      <c r="F11" s="20">
        <v>0</v>
      </c>
      <c r="G11" s="6"/>
      <c r="H11" s="6"/>
      <c r="I11" s="19"/>
    </row>
    <row r="12" spans="2:9" x14ac:dyDescent="0.4">
      <c r="B12" s="60"/>
      <c r="C12" s="11" t="s">
        <v>19</v>
      </c>
      <c r="D12" s="2">
        <v>0</v>
      </c>
      <c r="E12" s="2">
        <v>0</v>
      </c>
      <c r="F12" s="20" t="e">
        <v>#DIV/0!</v>
      </c>
      <c r="G12" s="6"/>
      <c r="H12" s="6"/>
      <c r="I12" s="19"/>
    </row>
    <row r="13" spans="2:9" x14ac:dyDescent="0.4">
      <c r="B13" s="60"/>
      <c r="C13" s="11" t="s">
        <v>20</v>
      </c>
      <c r="D13" s="2">
        <v>6</v>
      </c>
      <c r="E13" s="2">
        <v>0</v>
      </c>
      <c r="F13" s="20">
        <v>0</v>
      </c>
      <c r="G13" s="6"/>
      <c r="H13" s="6"/>
      <c r="I13" s="19"/>
    </row>
    <row r="14" spans="2:9" x14ac:dyDescent="0.4">
      <c r="B14" s="60"/>
      <c r="C14" s="11" t="s">
        <v>21</v>
      </c>
      <c r="D14" s="2">
        <v>21</v>
      </c>
      <c r="E14" s="2">
        <v>0</v>
      </c>
      <c r="F14" s="20">
        <v>0</v>
      </c>
      <c r="G14" s="6"/>
      <c r="H14" s="6"/>
      <c r="I14" s="19"/>
    </row>
    <row r="15" spans="2:9" x14ac:dyDescent="0.4">
      <c r="B15" s="60"/>
      <c r="C15" s="11" t="s">
        <v>22</v>
      </c>
      <c r="D15" s="2">
        <v>14</v>
      </c>
      <c r="E15" s="2">
        <v>1</v>
      </c>
      <c r="F15" s="20">
        <v>7.1428571428571425E-2</v>
      </c>
      <c r="G15" s="6"/>
      <c r="H15" s="6"/>
      <c r="I15" s="19"/>
    </row>
    <row r="16" spans="2:9" x14ac:dyDescent="0.4">
      <c r="B16" s="60"/>
      <c r="C16" s="11" t="s">
        <v>0</v>
      </c>
      <c r="D16" s="4">
        <v>17</v>
      </c>
      <c r="E16" s="4">
        <v>0</v>
      </c>
      <c r="F16" s="42">
        <v>0</v>
      </c>
      <c r="G16" s="4">
        <v>5</v>
      </c>
      <c r="H16" s="4">
        <v>0</v>
      </c>
      <c r="I16" s="20">
        <f t="shared" ref="I16:I39" si="0">H16/G16</f>
        <v>0</v>
      </c>
    </row>
    <row r="17" spans="2:9" x14ac:dyDescent="0.4">
      <c r="B17" s="60"/>
      <c r="C17" s="11" t="s">
        <v>1</v>
      </c>
      <c r="D17" s="4">
        <v>26</v>
      </c>
      <c r="E17" s="4">
        <v>0</v>
      </c>
      <c r="F17" s="42">
        <v>0</v>
      </c>
      <c r="G17" s="4">
        <v>21</v>
      </c>
      <c r="H17" s="4">
        <v>0</v>
      </c>
      <c r="I17" s="20">
        <f t="shared" si="0"/>
        <v>0</v>
      </c>
    </row>
    <row r="18" spans="2:9" x14ac:dyDescent="0.4">
      <c r="B18" s="60"/>
      <c r="C18" s="11" t="s">
        <v>2</v>
      </c>
      <c r="D18" s="4">
        <v>26</v>
      </c>
      <c r="E18" s="4">
        <v>0</v>
      </c>
      <c r="F18" s="42">
        <v>0</v>
      </c>
      <c r="G18" s="4">
        <v>14</v>
      </c>
      <c r="H18" s="4">
        <v>0</v>
      </c>
      <c r="I18" s="20">
        <f t="shared" si="0"/>
        <v>0</v>
      </c>
    </row>
    <row r="19" spans="2:9" x14ac:dyDescent="0.4">
      <c r="B19" s="60"/>
      <c r="C19" s="11" t="s">
        <v>3</v>
      </c>
      <c r="D19" s="4">
        <v>25</v>
      </c>
      <c r="E19" s="4">
        <v>0</v>
      </c>
      <c r="F19" s="42">
        <v>0</v>
      </c>
      <c r="G19" s="4">
        <v>19</v>
      </c>
      <c r="H19" s="4">
        <v>0</v>
      </c>
      <c r="I19" s="20">
        <f t="shared" si="0"/>
        <v>0</v>
      </c>
    </row>
    <row r="20" spans="2:9" x14ac:dyDescent="0.4">
      <c r="B20" s="60"/>
      <c r="C20" s="11" t="s">
        <v>4</v>
      </c>
      <c r="D20" s="4">
        <v>12</v>
      </c>
      <c r="E20" s="4">
        <v>1</v>
      </c>
      <c r="F20" s="42">
        <v>8.3333333333333329E-2</v>
      </c>
      <c r="G20" s="4">
        <v>11</v>
      </c>
      <c r="H20" s="4">
        <v>2</v>
      </c>
      <c r="I20" s="20">
        <f t="shared" si="0"/>
        <v>0.18181818181818182</v>
      </c>
    </row>
    <row r="21" spans="2:9" x14ac:dyDescent="0.4">
      <c r="B21" s="60"/>
      <c r="C21" s="11" t="s">
        <v>5</v>
      </c>
      <c r="D21" s="4">
        <v>30</v>
      </c>
      <c r="E21" s="4">
        <v>2</v>
      </c>
      <c r="F21" s="42">
        <v>6.6666666666666666E-2</v>
      </c>
      <c r="G21" s="4">
        <v>22</v>
      </c>
      <c r="H21" s="4">
        <v>0</v>
      </c>
      <c r="I21" s="20">
        <f t="shared" si="0"/>
        <v>0</v>
      </c>
    </row>
    <row r="22" spans="2:9" x14ac:dyDescent="0.4">
      <c r="B22" s="60"/>
      <c r="C22" s="11" t="s">
        <v>6</v>
      </c>
      <c r="D22" s="4">
        <v>18</v>
      </c>
      <c r="E22" s="4">
        <v>3</v>
      </c>
      <c r="F22" s="42">
        <v>0.16666666666666666</v>
      </c>
      <c r="G22" s="4">
        <v>15</v>
      </c>
      <c r="H22" s="4">
        <v>0</v>
      </c>
      <c r="I22" s="20">
        <f t="shared" si="0"/>
        <v>0</v>
      </c>
    </row>
    <row r="23" spans="2:9" x14ac:dyDescent="0.4">
      <c r="B23" s="60"/>
      <c r="C23" s="11" t="s">
        <v>7</v>
      </c>
      <c r="D23" s="4">
        <v>13</v>
      </c>
      <c r="E23" s="4">
        <v>0</v>
      </c>
      <c r="F23" s="42">
        <v>0</v>
      </c>
      <c r="G23" s="4">
        <v>18</v>
      </c>
      <c r="H23" s="4">
        <v>0</v>
      </c>
      <c r="I23" s="20">
        <f t="shared" si="0"/>
        <v>0</v>
      </c>
    </row>
    <row r="24" spans="2:9" x14ac:dyDescent="0.4">
      <c r="B24" s="60"/>
      <c r="C24" s="11" t="s">
        <v>25</v>
      </c>
      <c r="D24" s="4">
        <v>20</v>
      </c>
      <c r="E24" s="4">
        <v>4</v>
      </c>
      <c r="F24" s="42">
        <v>0.2</v>
      </c>
      <c r="G24" s="4">
        <v>23</v>
      </c>
      <c r="H24" s="4">
        <v>0</v>
      </c>
      <c r="I24" s="20">
        <f t="shared" si="0"/>
        <v>0</v>
      </c>
    </row>
    <row r="25" spans="2:9" x14ac:dyDescent="0.4">
      <c r="B25" s="60"/>
      <c r="C25" s="11" t="s">
        <v>26</v>
      </c>
      <c r="D25" s="4">
        <v>2</v>
      </c>
      <c r="E25" s="4">
        <v>0</v>
      </c>
      <c r="F25" s="42">
        <v>0</v>
      </c>
      <c r="G25" s="4">
        <v>30</v>
      </c>
      <c r="H25" s="4">
        <v>0</v>
      </c>
      <c r="I25" s="20">
        <f t="shared" si="0"/>
        <v>0</v>
      </c>
    </row>
    <row r="26" spans="2:9" x14ac:dyDescent="0.4">
      <c r="B26" s="60"/>
      <c r="C26" s="11" t="s">
        <v>27</v>
      </c>
      <c r="D26" s="4">
        <v>23</v>
      </c>
      <c r="E26" s="4">
        <v>6</v>
      </c>
      <c r="F26" s="42">
        <v>0.2608695652173913</v>
      </c>
      <c r="G26" s="4">
        <v>12</v>
      </c>
      <c r="H26" s="4">
        <v>0</v>
      </c>
      <c r="I26" s="20">
        <f t="shared" si="0"/>
        <v>0</v>
      </c>
    </row>
    <row r="27" spans="2:9" x14ac:dyDescent="0.4">
      <c r="B27" s="60"/>
      <c r="C27" s="11" t="s">
        <v>28</v>
      </c>
      <c r="D27" s="4">
        <v>26</v>
      </c>
      <c r="E27" s="4">
        <v>7</v>
      </c>
      <c r="F27" s="42">
        <v>0.26923076923076922</v>
      </c>
      <c r="G27" s="4">
        <v>0</v>
      </c>
      <c r="H27" s="4">
        <v>0</v>
      </c>
      <c r="I27" s="20" t="e">
        <f t="shared" si="0"/>
        <v>#DIV/0!</v>
      </c>
    </row>
    <row r="28" spans="2:9" x14ac:dyDescent="0.4">
      <c r="B28" s="60"/>
      <c r="C28" s="11" t="s">
        <v>29</v>
      </c>
      <c r="D28" s="4">
        <v>25</v>
      </c>
      <c r="E28" s="4">
        <v>3</v>
      </c>
      <c r="F28" s="42">
        <v>0.12</v>
      </c>
      <c r="G28" s="4">
        <v>14</v>
      </c>
      <c r="H28" s="4">
        <v>0</v>
      </c>
      <c r="I28" s="20">
        <f t="shared" si="0"/>
        <v>0</v>
      </c>
    </row>
    <row r="29" spans="2:9" x14ac:dyDescent="0.4">
      <c r="B29" s="60"/>
      <c r="C29" s="11" t="s">
        <v>30</v>
      </c>
      <c r="D29" s="4">
        <v>23</v>
      </c>
      <c r="E29" s="4">
        <v>2</v>
      </c>
      <c r="F29" s="42">
        <v>8.6956521739130432E-2</v>
      </c>
      <c r="G29" s="4">
        <v>29</v>
      </c>
      <c r="H29" s="4">
        <v>0</v>
      </c>
      <c r="I29" s="20">
        <f t="shared" si="0"/>
        <v>0</v>
      </c>
    </row>
    <row r="30" spans="2:9" x14ac:dyDescent="0.4">
      <c r="B30" s="60"/>
      <c r="C30" s="11" t="s">
        <v>31</v>
      </c>
      <c r="D30" s="4">
        <v>25</v>
      </c>
      <c r="E30" s="4">
        <v>1</v>
      </c>
      <c r="F30" s="42">
        <v>0.04</v>
      </c>
      <c r="G30" s="4">
        <v>23</v>
      </c>
      <c r="H30" s="4">
        <v>1</v>
      </c>
      <c r="I30" s="20">
        <f t="shared" si="0"/>
        <v>4.3478260869565216E-2</v>
      </c>
    </row>
    <row r="31" spans="2:9" x14ac:dyDescent="0.4">
      <c r="B31" s="60"/>
      <c r="C31" s="11" t="s">
        <v>32</v>
      </c>
      <c r="D31" s="4">
        <v>25</v>
      </c>
      <c r="E31" s="4">
        <v>6</v>
      </c>
      <c r="F31" s="42">
        <v>0.24</v>
      </c>
      <c r="G31" s="4">
        <v>24</v>
      </c>
      <c r="H31" s="4">
        <v>2</v>
      </c>
      <c r="I31" s="20">
        <f t="shared" si="0"/>
        <v>8.3333333333333329E-2</v>
      </c>
    </row>
    <row r="32" spans="2:9" x14ac:dyDescent="0.4">
      <c r="B32" s="60"/>
      <c r="C32" s="11" t="s">
        <v>33</v>
      </c>
      <c r="D32" s="4">
        <v>25</v>
      </c>
      <c r="E32" s="4">
        <v>0</v>
      </c>
      <c r="F32" s="42">
        <v>0</v>
      </c>
      <c r="G32" s="4">
        <v>24</v>
      </c>
      <c r="H32" s="4">
        <v>2</v>
      </c>
      <c r="I32" s="20">
        <f t="shared" si="0"/>
        <v>8.3333333333333329E-2</v>
      </c>
    </row>
    <row r="33" spans="2:9" x14ac:dyDescent="0.4">
      <c r="B33" s="60"/>
      <c r="C33" s="11" t="s">
        <v>34</v>
      </c>
      <c r="D33" s="4">
        <v>10</v>
      </c>
      <c r="E33" s="4">
        <v>0</v>
      </c>
      <c r="F33" s="42">
        <v>0</v>
      </c>
      <c r="G33" s="4">
        <v>24</v>
      </c>
      <c r="H33" s="4">
        <v>0</v>
      </c>
      <c r="I33" s="20">
        <f t="shared" si="0"/>
        <v>0</v>
      </c>
    </row>
    <row r="34" spans="2:9" x14ac:dyDescent="0.4">
      <c r="B34" s="60"/>
      <c r="C34" s="11" t="s">
        <v>36</v>
      </c>
      <c r="D34" s="34">
        <v>18</v>
      </c>
      <c r="E34" s="9">
        <v>2</v>
      </c>
      <c r="F34" s="43">
        <v>0.1111111111111111</v>
      </c>
      <c r="G34" s="34">
        <v>19</v>
      </c>
      <c r="H34" s="9">
        <v>1</v>
      </c>
      <c r="I34" s="20">
        <f t="shared" si="0"/>
        <v>5.2631578947368418E-2</v>
      </c>
    </row>
    <row r="35" spans="2:9" x14ac:dyDescent="0.4">
      <c r="B35" s="60"/>
      <c r="C35" s="11" t="s">
        <v>37</v>
      </c>
      <c r="D35" s="34">
        <v>25</v>
      </c>
      <c r="E35" s="39">
        <v>3</v>
      </c>
      <c r="F35" s="43">
        <v>0.12</v>
      </c>
      <c r="G35" s="34">
        <v>14</v>
      </c>
      <c r="H35" s="9">
        <v>0</v>
      </c>
      <c r="I35" s="20">
        <f t="shared" si="0"/>
        <v>0</v>
      </c>
    </row>
    <row r="36" spans="2:9" x14ac:dyDescent="0.4">
      <c r="B36" s="60"/>
      <c r="C36" s="11" t="s">
        <v>38</v>
      </c>
      <c r="D36" s="34">
        <v>25</v>
      </c>
      <c r="E36" s="9">
        <v>1</v>
      </c>
      <c r="F36" s="43">
        <v>0.04</v>
      </c>
      <c r="G36" s="34">
        <v>18</v>
      </c>
      <c r="H36" s="9">
        <v>1</v>
      </c>
      <c r="I36" s="20">
        <f t="shared" si="0"/>
        <v>5.5555555555555552E-2</v>
      </c>
    </row>
    <row r="37" spans="2:9" x14ac:dyDescent="0.4">
      <c r="B37" s="60"/>
      <c r="C37" s="11" t="s">
        <v>39</v>
      </c>
      <c r="D37" s="34">
        <v>24</v>
      </c>
      <c r="E37" s="39">
        <v>2</v>
      </c>
      <c r="F37" s="43">
        <v>8.3333333333333329E-2</v>
      </c>
      <c r="G37" s="34">
        <v>23</v>
      </c>
      <c r="H37" s="9">
        <v>1</v>
      </c>
      <c r="I37" s="20">
        <f t="shared" si="0"/>
        <v>4.3478260869565216E-2</v>
      </c>
    </row>
    <row r="38" spans="2:9" x14ac:dyDescent="0.4">
      <c r="B38" s="60"/>
      <c r="C38" s="11" t="s">
        <v>40</v>
      </c>
      <c r="D38" s="34">
        <v>24</v>
      </c>
      <c r="E38" s="9">
        <v>4</v>
      </c>
      <c r="F38" s="43">
        <v>0.16666666666666666</v>
      </c>
      <c r="G38" s="34">
        <v>24</v>
      </c>
      <c r="H38" s="9">
        <v>4</v>
      </c>
      <c r="I38" s="20">
        <f t="shared" si="0"/>
        <v>0.16666666666666666</v>
      </c>
    </row>
    <row r="39" spans="2:9" x14ac:dyDescent="0.4">
      <c r="B39" s="60"/>
      <c r="C39" s="11" t="s">
        <v>41</v>
      </c>
      <c r="D39" s="34">
        <v>17</v>
      </c>
      <c r="E39" s="9">
        <v>1</v>
      </c>
      <c r="F39" s="43">
        <v>5.8823529411764705E-2</v>
      </c>
      <c r="G39" s="34">
        <v>8</v>
      </c>
      <c r="H39" s="9">
        <v>0</v>
      </c>
      <c r="I39" s="20">
        <f t="shared" si="0"/>
        <v>0</v>
      </c>
    </row>
    <row r="40" spans="2:9" x14ac:dyDescent="0.4">
      <c r="B40" s="60"/>
      <c r="C40" s="11" t="s">
        <v>58</v>
      </c>
      <c r="D40" s="34">
        <v>16</v>
      </c>
      <c r="E40" s="39">
        <v>3</v>
      </c>
      <c r="F40" s="43">
        <v>0.1875</v>
      </c>
      <c r="G40" s="34">
        <v>28</v>
      </c>
      <c r="H40" s="9"/>
      <c r="I40" s="20"/>
    </row>
    <row r="41" spans="2:9" x14ac:dyDescent="0.4">
      <c r="B41" s="60"/>
      <c r="C41" s="11" t="s">
        <v>59</v>
      </c>
      <c r="D41" s="34">
        <v>13</v>
      </c>
      <c r="E41" s="9">
        <v>1</v>
      </c>
      <c r="F41" s="43">
        <v>7.6923076923076927E-2</v>
      </c>
      <c r="G41" s="34">
        <v>23</v>
      </c>
      <c r="H41" s="9"/>
      <c r="I41" s="20"/>
    </row>
    <row r="42" spans="2:9" x14ac:dyDescent="0.4">
      <c r="B42" s="60"/>
      <c r="C42" s="11" t="s">
        <v>60</v>
      </c>
      <c r="D42" s="34">
        <v>15</v>
      </c>
      <c r="E42" s="9">
        <v>1</v>
      </c>
      <c r="F42" s="43">
        <v>6.6666666666666666E-2</v>
      </c>
      <c r="G42" s="34">
        <v>32</v>
      </c>
      <c r="H42" s="9"/>
      <c r="I42" s="20"/>
    </row>
    <row r="43" spans="2:9" x14ac:dyDescent="0.4">
      <c r="B43" s="60"/>
      <c r="C43" s="11" t="s">
        <v>61</v>
      </c>
      <c r="D43" s="34">
        <v>13</v>
      </c>
      <c r="E43" s="9">
        <v>0</v>
      </c>
      <c r="F43" s="43">
        <v>0</v>
      </c>
      <c r="G43" s="34">
        <v>32</v>
      </c>
      <c r="H43" s="9"/>
      <c r="I43" s="20"/>
    </row>
    <row r="44" spans="2:9" x14ac:dyDescent="0.4">
      <c r="B44" s="60"/>
      <c r="C44" s="11" t="s">
        <v>62</v>
      </c>
      <c r="D44" s="34">
        <v>15</v>
      </c>
      <c r="E44" s="9">
        <v>0</v>
      </c>
      <c r="F44" s="43">
        <v>0</v>
      </c>
      <c r="G44" s="34">
        <v>20</v>
      </c>
      <c r="H44" s="9"/>
      <c r="I44" s="20"/>
    </row>
    <row r="45" spans="2:9" x14ac:dyDescent="0.4">
      <c r="B45" s="60"/>
      <c r="C45" s="11" t="s">
        <v>63</v>
      </c>
      <c r="D45" s="34">
        <v>14</v>
      </c>
      <c r="E45" s="9">
        <v>0</v>
      </c>
      <c r="F45" s="43">
        <v>0</v>
      </c>
      <c r="G45" s="34">
        <v>20</v>
      </c>
      <c r="H45" s="9"/>
      <c r="I45" s="20"/>
    </row>
    <row r="46" spans="2:9" x14ac:dyDescent="0.4">
      <c r="B46" s="60"/>
      <c r="C46" s="11" t="s">
        <v>64</v>
      </c>
      <c r="D46" s="34">
        <v>15</v>
      </c>
      <c r="E46" s="9">
        <v>2</v>
      </c>
      <c r="F46" s="43">
        <v>0.13333333333333333</v>
      </c>
      <c r="G46" s="34">
        <v>26</v>
      </c>
      <c r="H46" s="9"/>
      <c r="I46" s="20"/>
    </row>
    <row r="47" spans="2:9" x14ac:dyDescent="0.4">
      <c r="B47" s="60"/>
      <c r="C47" s="11" t="s">
        <v>65</v>
      </c>
      <c r="D47" s="34">
        <v>15</v>
      </c>
      <c r="E47" s="9">
        <v>1</v>
      </c>
      <c r="F47" s="43">
        <v>6.6666666666666666E-2</v>
      </c>
      <c r="G47" s="34">
        <v>19</v>
      </c>
      <c r="H47" s="9"/>
      <c r="I47" s="20"/>
    </row>
    <row r="48" spans="2:9" x14ac:dyDescent="0.4">
      <c r="B48" s="60"/>
      <c r="C48" s="11" t="s">
        <v>66</v>
      </c>
      <c r="D48" s="34">
        <v>15</v>
      </c>
      <c r="E48" s="9">
        <v>0</v>
      </c>
      <c r="F48" s="43">
        <v>0</v>
      </c>
      <c r="G48" s="34">
        <v>26</v>
      </c>
      <c r="H48" s="9"/>
      <c r="I48" s="20"/>
    </row>
    <row r="49" spans="2:9" x14ac:dyDescent="0.4">
      <c r="B49" s="60"/>
      <c r="C49" s="11" t="s">
        <v>67</v>
      </c>
      <c r="D49" s="34">
        <v>15</v>
      </c>
      <c r="E49" s="9">
        <v>0</v>
      </c>
      <c r="F49" s="43">
        <v>0</v>
      </c>
      <c r="G49" s="34">
        <v>30</v>
      </c>
      <c r="H49" s="9"/>
      <c r="I49" s="20"/>
    </row>
    <row r="50" spans="2:9" x14ac:dyDescent="0.4">
      <c r="B50" s="60"/>
      <c r="C50" s="11" t="s">
        <v>68</v>
      </c>
      <c r="D50" s="9">
        <v>15</v>
      </c>
      <c r="E50" s="9">
        <v>4</v>
      </c>
      <c r="F50" s="35">
        <v>0.26666666666666666</v>
      </c>
      <c r="G50" s="9">
        <v>16</v>
      </c>
      <c r="H50" s="9"/>
      <c r="I50" s="20"/>
    </row>
    <row r="51" spans="2:9" x14ac:dyDescent="0.4">
      <c r="B51" s="60"/>
      <c r="C51" s="11" t="s">
        <v>69</v>
      </c>
      <c r="D51" s="9">
        <v>15</v>
      </c>
      <c r="E51" s="9">
        <v>5</v>
      </c>
      <c r="F51" s="35">
        <v>0.33333333333333331</v>
      </c>
      <c r="G51" s="9">
        <v>15</v>
      </c>
      <c r="H51" s="9"/>
      <c r="I51" s="20"/>
    </row>
    <row r="52" spans="2:9" x14ac:dyDescent="0.4">
      <c r="B52" s="60"/>
      <c r="C52" s="11" t="s">
        <v>70</v>
      </c>
      <c r="D52" s="34">
        <v>15</v>
      </c>
      <c r="E52" s="9">
        <v>8</v>
      </c>
      <c r="F52" s="35">
        <v>0.53333333333333333</v>
      </c>
      <c r="G52" s="9">
        <v>5</v>
      </c>
      <c r="H52" s="9"/>
      <c r="I52" s="20"/>
    </row>
    <row r="53" spans="2:9" x14ac:dyDescent="0.4">
      <c r="B53" s="60"/>
      <c r="C53" s="11" t="s">
        <v>71</v>
      </c>
      <c r="D53">
        <v>15</v>
      </c>
      <c r="E53" s="9">
        <v>6</v>
      </c>
      <c r="F53" s="35">
        <v>0.4</v>
      </c>
      <c r="G53" s="9">
        <v>19</v>
      </c>
      <c r="H53" s="9"/>
      <c r="I53" s="20"/>
    </row>
    <row r="54" spans="2:9" x14ac:dyDescent="0.4">
      <c r="B54" s="60"/>
      <c r="C54" s="11" t="s">
        <v>72</v>
      </c>
      <c r="D54">
        <v>14</v>
      </c>
      <c r="E54" s="9">
        <v>11</v>
      </c>
      <c r="F54" s="35">
        <v>0.7857142857142857</v>
      </c>
      <c r="G54" s="9">
        <v>16</v>
      </c>
      <c r="H54" s="9"/>
      <c r="I54" s="20"/>
    </row>
    <row r="55" spans="2:9" x14ac:dyDescent="0.4">
      <c r="B55" s="60"/>
      <c r="C55" s="11" t="s">
        <v>10</v>
      </c>
      <c r="D55" s="34">
        <v>14</v>
      </c>
      <c r="E55" s="9">
        <v>10</v>
      </c>
      <c r="F55" s="35">
        <v>0.7142857142857143</v>
      </c>
      <c r="G55" s="9">
        <v>5</v>
      </c>
      <c r="H55" s="9"/>
      <c r="I55" s="20"/>
    </row>
    <row r="56" spans="2:9" x14ac:dyDescent="0.4">
      <c r="B56" s="60"/>
      <c r="C56" s="11" t="s">
        <v>11</v>
      </c>
      <c r="D56" s="34">
        <v>12</v>
      </c>
      <c r="E56" s="9">
        <v>10</v>
      </c>
      <c r="F56" s="35">
        <v>0.83333333333333337</v>
      </c>
      <c r="G56" s="9">
        <v>12</v>
      </c>
      <c r="H56" s="9"/>
      <c r="I56" s="20"/>
    </row>
    <row r="57" spans="2:9" x14ac:dyDescent="0.4">
      <c r="B57" s="60"/>
      <c r="C57" s="11" t="s">
        <v>12</v>
      </c>
      <c r="D57" s="34">
        <v>24</v>
      </c>
      <c r="E57" s="9">
        <v>5</v>
      </c>
      <c r="F57" s="35">
        <v>0.20833333333333334</v>
      </c>
      <c r="G57" s="9">
        <v>16</v>
      </c>
      <c r="H57" s="9"/>
      <c r="I57" s="20"/>
    </row>
    <row r="58" spans="2:9" x14ac:dyDescent="0.4">
      <c r="B58" s="33"/>
      <c r="C58" s="11" t="s">
        <v>13</v>
      </c>
    </row>
    <row r="59" spans="2:9" x14ac:dyDescent="0.4">
      <c r="B59" s="33"/>
      <c r="C59" s="11" t="s">
        <v>14</v>
      </c>
    </row>
    <row r="60" spans="2:9" x14ac:dyDescent="0.4">
      <c r="B60" s="33"/>
      <c r="C60" s="11" t="s">
        <v>15</v>
      </c>
    </row>
    <row r="61" spans="2:9" x14ac:dyDescent="0.4">
      <c r="B61" s="33"/>
      <c r="C61" s="11" t="s">
        <v>73</v>
      </c>
    </row>
    <row r="62" spans="2:9" x14ac:dyDescent="0.4">
      <c r="B62" s="33"/>
      <c r="C62" s="11" t="s">
        <v>74</v>
      </c>
    </row>
    <row r="63" spans="2:9" x14ac:dyDescent="0.4">
      <c r="B63" s="33"/>
      <c r="C63" s="11" t="s">
        <v>75</v>
      </c>
    </row>
  </sheetData>
  <mergeCells count="2">
    <mergeCell ref="B3:B8"/>
    <mergeCell ref="B9:B5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B063-243E-4350-BEFE-06F8CFA9863B}">
  <dimension ref="A1:I62"/>
  <sheetViews>
    <sheetView topLeftCell="A22" workbookViewId="0">
      <selection activeCell="H71" sqref="H71"/>
    </sheetView>
  </sheetViews>
  <sheetFormatPr defaultRowHeight="16" x14ac:dyDescent="0.4"/>
  <cols>
    <col min="1" max="1" width="4.75" bestFit="1" customWidth="1"/>
    <col min="2" max="2" width="5.5" bestFit="1" customWidth="1"/>
    <col min="3" max="3" width="29" bestFit="1" customWidth="1"/>
    <col min="4" max="4" width="27.75" bestFit="1" customWidth="1"/>
    <col min="5" max="5" width="22" bestFit="1" customWidth="1"/>
    <col min="6" max="6" width="32.58203125" bestFit="1" customWidth="1"/>
    <col min="7" max="7" width="31.33203125" bestFit="1" customWidth="1"/>
    <col min="8" max="8" width="25.58203125" bestFit="1" customWidth="1"/>
  </cols>
  <sheetData>
    <row r="1" spans="1:9" ht="48" x14ac:dyDescent="0.4">
      <c r="A1" s="21"/>
      <c r="B1" s="13" t="s">
        <v>99</v>
      </c>
      <c r="C1" s="44" t="s">
        <v>46</v>
      </c>
      <c r="D1" s="44" t="s">
        <v>47</v>
      </c>
      <c r="E1" s="44" t="s">
        <v>48</v>
      </c>
      <c r="F1" s="45" t="s">
        <v>50</v>
      </c>
      <c r="G1" s="45" t="s">
        <v>51</v>
      </c>
      <c r="H1" s="45" t="s">
        <v>52</v>
      </c>
      <c r="I1" s="45"/>
    </row>
    <row r="2" spans="1:9" x14ac:dyDescent="0.4">
      <c r="A2" s="55">
        <v>2024</v>
      </c>
      <c r="B2" s="12" t="s">
        <v>10</v>
      </c>
      <c r="C2">
        <v>12</v>
      </c>
      <c r="D2">
        <v>1</v>
      </c>
      <c r="E2" s="8">
        <v>8.3333333333333329E-2</v>
      </c>
      <c r="H2" s="8"/>
    </row>
    <row r="3" spans="1:9" x14ac:dyDescent="0.4">
      <c r="A3" s="55"/>
      <c r="B3" s="12" t="s">
        <v>11</v>
      </c>
      <c r="C3">
        <v>11</v>
      </c>
      <c r="D3">
        <v>2</v>
      </c>
      <c r="E3" s="8">
        <v>0.18181818181818182</v>
      </c>
      <c r="H3" s="8"/>
    </row>
    <row r="4" spans="1:9" x14ac:dyDescent="0.4">
      <c r="A4" s="55"/>
      <c r="B4" s="12" t="s">
        <v>12</v>
      </c>
      <c r="C4">
        <v>10</v>
      </c>
      <c r="D4">
        <v>6</v>
      </c>
      <c r="E4" s="8">
        <v>0.6</v>
      </c>
      <c r="H4" s="8"/>
    </row>
    <row r="5" spans="1:9" x14ac:dyDescent="0.4">
      <c r="A5" s="55"/>
      <c r="B5" s="12" t="s">
        <v>13</v>
      </c>
      <c r="C5">
        <v>1</v>
      </c>
      <c r="D5">
        <v>0</v>
      </c>
      <c r="E5" s="8">
        <v>0</v>
      </c>
      <c r="H5" s="8"/>
    </row>
    <row r="6" spans="1:9" x14ac:dyDescent="0.4">
      <c r="A6" s="55"/>
      <c r="B6" s="12" t="s">
        <v>14</v>
      </c>
      <c r="C6">
        <v>14</v>
      </c>
      <c r="D6">
        <v>6</v>
      </c>
      <c r="E6" s="8">
        <v>0.42857142857142855</v>
      </c>
      <c r="H6" s="8"/>
    </row>
    <row r="7" spans="1:9" x14ac:dyDescent="0.4">
      <c r="A7" s="55"/>
      <c r="B7" s="12" t="s">
        <v>15</v>
      </c>
      <c r="C7">
        <v>0</v>
      </c>
      <c r="D7">
        <v>0</v>
      </c>
      <c r="E7" s="8" t="e">
        <v>#DIV/0!</v>
      </c>
      <c r="H7" s="8"/>
    </row>
    <row r="8" spans="1:9" x14ac:dyDescent="0.4">
      <c r="A8" s="59">
        <v>2025</v>
      </c>
      <c r="B8" s="11" t="s">
        <v>16</v>
      </c>
      <c r="C8">
        <v>2</v>
      </c>
      <c r="D8">
        <v>0</v>
      </c>
      <c r="E8" s="8">
        <v>0</v>
      </c>
      <c r="H8" s="8"/>
    </row>
    <row r="9" spans="1:9" x14ac:dyDescent="0.4">
      <c r="A9" s="60"/>
      <c r="B9" s="11" t="s">
        <v>17</v>
      </c>
      <c r="C9">
        <v>11</v>
      </c>
      <c r="D9">
        <v>1</v>
      </c>
      <c r="E9" s="8">
        <v>9.0909090909090912E-2</v>
      </c>
      <c r="H9" s="8"/>
    </row>
    <row r="10" spans="1:9" x14ac:dyDescent="0.4">
      <c r="A10" s="60"/>
      <c r="B10" s="11" t="s">
        <v>18</v>
      </c>
      <c r="C10">
        <v>6</v>
      </c>
      <c r="D10">
        <v>0</v>
      </c>
      <c r="E10" s="8">
        <v>0</v>
      </c>
      <c r="H10" s="8"/>
    </row>
    <row r="11" spans="1:9" x14ac:dyDescent="0.4">
      <c r="A11" s="60"/>
      <c r="B11" s="11" t="s">
        <v>19</v>
      </c>
      <c r="C11">
        <v>0</v>
      </c>
      <c r="D11">
        <v>0</v>
      </c>
      <c r="E11" s="8" t="e">
        <v>#DIV/0!</v>
      </c>
      <c r="H11" s="8"/>
    </row>
    <row r="12" spans="1:9" x14ac:dyDescent="0.4">
      <c r="A12" s="60"/>
      <c r="B12" s="11" t="s">
        <v>20</v>
      </c>
      <c r="C12">
        <v>6</v>
      </c>
      <c r="D12">
        <v>0</v>
      </c>
      <c r="E12" s="8">
        <v>0</v>
      </c>
      <c r="H12" s="8"/>
    </row>
    <row r="13" spans="1:9" x14ac:dyDescent="0.4">
      <c r="A13" s="60"/>
      <c r="B13" s="11" t="s">
        <v>21</v>
      </c>
      <c r="C13">
        <v>21</v>
      </c>
      <c r="D13">
        <v>1</v>
      </c>
      <c r="E13" s="8">
        <v>4.7619047619047616E-2</v>
      </c>
      <c r="H13" s="8"/>
    </row>
    <row r="14" spans="1:9" x14ac:dyDescent="0.4">
      <c r="A14" s="60"/>
      <c r="B14" s="11" t="s">
        <v>22</v>
      </c>
      <c r="C14">
        <v>14</v>
      </c>
      <c r="D14">
        <v>0</v>
      </c>
      <c r="E14" s="8">
        <v>0</v>
      </c>
      <c r="H14" s="8"/>
    </row>
    <row r="15" spans="1:9" x14ac:dyDescent="0.4">
      <c r="A15" s="60"/>
      <c r="B15" s="11" t="s">
        <v>0</v>
      </c>
      <c r="C15">
        <v>17</v>
      </c>
      <c r="D15">
        <v>0</v>
      </c>
      <c r="E15" s="8">
        <v>0</v>
      </c>
      <c r="F15">
        <v>5</v>
      </c>
      <c r="G15">
        <v>0</v>
      </c>
      <c r="H15" s="8">
        <v>0</v>
      </c>
    </row>
    <row r="16" spans="1:9" x14ac:dyDescent="0.4">
      <c r="A16" s="60"/>
      <c r="B16" s="11" t="s">
        <v>1</v>
      </c>
      <c r="C16">
        <v>26</v>
      </c>
      <c r="D16">
        <v>0</v>
      </c>
      <c r="E16" s="8">
        <v>0</v>
      </c>
      <c r="F16">
        <v>21</v>
      </c>
      <c r="G16">
        <v>0</v>
      </c>
      <c r="H16" s="8">
        <v>0</v>
      </c>
    </row>
    <row r="17" spans="1:8" x14ac:dyDescent="0.4">
      <c r="A17" s="60"/>
      <c r="B17" s="11" t="s">
        <v>2</v>
      </c>
      <c r="C17">
        <v>26</v>
      </c>
      <c r="D17">
        <v>1</v>
      </c>
      <c r="E17" s="8">
        <v>3.8461538461538464E-2</v>
      </c>
      <c r="F17">
        <v>14</v>
      </c>
      <c r="G17">
        <v>0</v>
      </c>
      <c r="H17" s="8">
        <v>0</v>
      </c>
    </row>
    <row r="18" spans="1:8" x14ac:dyDescent="0.4">
      <c r="A18" s="60"/>
      <c r="B18" s="11" t="s">
        <v>3</v>
      </c>
      <c r="C18">
        <v>25</v>
      </c>
      <c r="D18">
        <v>0</v>
      </c>
      <c r="E18" s="8">
        <v>0</v>
      </c>
      <c r="F18">
        <v>19</v>
      </c>
      <c r="G18">
        <v>0</v>
      </c>
      <c r="H18" s="8">
        <v>0</v>
      </c>
    </row>
    <row r="19" spans="1:8" x14ac:dyDescent="0.4">
      <c r="A19" s="60"/>
      <c r="B19" s="11" t="s">
        <v>4</v>
      </c>
      <c r="C19">
        <v>12</v>
      </c>
      <c r="D19">
        <v>0</v>
      </c>
      <c r="E19" s="8">
        <v>0</v>
      </c>
      <c r="F19">
        <v>11</v>
      </c>
      <c r="G19">
        <v>1</v>
      </c>
      <c r="H19" s="8">
        <v>9.0909090909090912E-2</v>
      </c>
    </row>
    <row r="20" spans="1:8" x14ac:dyDescent="0.4">
      <c r="A20" s="60"/>
      <c r="B20" s="11" t="s">
        <v>5</v>
      </c>
      <c r="C20">
        <v>30</v>
      </c>
      <c r="D20">
        <v>0</v>
      </c>
      <c r="E20" s="8">
        <v>0</v>
      </c>
      <c r="F20">
        <v>22</v>
      </c>
      <c r="G20">
        <v>0</v>
      </c>
      <c r="H20" s="8">
        <v>0</v>
      </c>
    </row>
    <row r="21" spans="1:8" x14ac:dyDescent="0.4">
      <c r="A21" s="60"/>
      <c r="B21" s="11" t="s">
        <v>6</v>
      </c>
      <c r="C21">
        <v>18</v>
      </c>
      <c r="D21">
        <v>0</v>
      </c>
      <c r="E21" s="8">
        <v>0</v>
      </c>
      <c r="F21">
        <v>15</v>
      </c>
      <c r="G21">
        <v>0</v>
      </c>
      <c r="H21" s="8">
        <v>0</v>
      </c>
    </row>
    <row r="22" spans="1:8" x14ac:dyDescent="0.4">
      <c r="A22" s="60"/>
      <c r="B22" s="11" t="s">
        <v>7</v>
      </c>
      <c r="C22">
        <v>13</v>
      </c>
      <c r="D22">
        <v>0</v>
      </c>
      <c r="E22" s="8">
        <v>0</v>
      </c>
      <c r="F22">
        <v>18</v>
      </c>
      <c r="G22">
        <v>0</v>
      </c>
      <c r="H22" s="8">
        <v>0</v>
      </c>
    </row>
    <row r="23" spans="1:8" x14ac:dyDescent="0.4">
      <c r="A23" s="60"/>
      <c r="B23" s="11" t="s">
        <v>25</v>
      </c>
      <c r="C23">
        <v>20</v>
      </c>
      <c r="D23">
        <v>0</v>
      </c>
      <c r="E23" s="8">
        <v>0</v>
      </c>
      <c r="F23">
        <v>23</v>
      </c>
      <c r="G23">
        <v>0</v>
      </c>
      <c r="H23" s="8">
        <v>0</v>
      </c>
    </row>
    <row r="24" spans="1:8" x14ac:dyDescent="0.4">
      <c r="A24" s="60"/>
      <c r="B24" s="11" t="s">
        <v>26</v>
      </c>
      <c r="C24">
        <v>2</v>
      </c>
      <c r="D24">
        <v>0</v>
      </c>
      <c r="E24" s="8">
        <v>0</v>
      </c>
      <c r="F24">
        <v>30</v>
      </c>
      <c r="G24">
        <v>0</v>
      </c>
      <c r="H24" s="8">
        <v>0</v>
      </c>
    </row>
    <row r="25" spans="1:8" x14ac:dyDescent="0.4">
      <c r="A25" s="60"/>
      <c r="B25" s="11" t="s">
        <v>27</v>
      </c>
      <c r="C25">
        <v>23</v>
      </c>
      <c r="D25">
        <v>1</v>
      </c>
      <c r="E25" s="8">
        <v>4.3478260869565216E-2</v>
      </c>
      <c r="F25">
        <v>12</v>
      </c>
      <c r="G25">
        <v>0</v>
      </c>
      <c r="H25" s="8">
        <v>0</v>
      </c>
    </row>
    <row r="26" spans="1:8" x14ac:dyDescent="0.4">
      <c r="A26" s="60"/>
      <c r="B26" s="11" t="s">
        <v>28</v>
      </c>
      <c r="C26">
        <v>26</v>
      </c>
      <c r="D26">
        <v>1</v>
      </c>
      <c r="E26" s="8">
        <v>3.8461538461538464E-2</v>
      </c>
      <c r="F26">
        <v>0</v>
      </c>
      <c r="G26">
        <v>0</v>
      </c>
      <c r="H26" s="8" t="e">
        <v>#DIV/0!</v>
      </c>
    </row>
    <row r="27" spans="1:8" x14ac:dyDescent="0.4">
      <c r="A27" s="60"/>
      <c r="B27" s="11" t="s">
        <v>29</v>
      </c>
      <c r="C27">
        <v>25</v>
      </c>
      <c r="D27">
        <v>0</v>
      </c>
      <c r="E27" s="8">
        <v>0</v>
      </c>
      <c r="F27">
        <v>14</v>
      </c>
      <c r="G27">
        <v>1</v>
      </c>
      <c r="H27" s="8">
        <v>7.1428571428571425E-2</v>
      </c>
    </row>
    <row r="28" spans="1:8" x14ac:dyDescent="0.4">
      <c r="A28" s="60"/>
      <c r="B28" s="11" t="s">
        <v>30</v>
      </c>
      <c r="C28">
        <v>23</v>
      </c>
      <c r="D28">
        <v>0</v>
      </c>
      <c r="E28" s="8">
        <v>0</v>
      </c>
      <c r="F28">
        <v>29</v>
      </c>
      <c r="G28">
        <v>0</v>
      </c>
      <c r="H28" s="8">
        <v>0</v>
      </c>
    </row>
    <row r="29" spans="1:8" x14ac:dyDescent="0.4">
      <c r="A29" s="60"/>
      <c r="B29" s="11" t="s">
        <v>31</v>
      </c>
      <c r="C29">
        <v>25</v>
      </c>
      <c r="D29">
        <v>0</v>
      </c>
      <c r="E29" s="8">
        <v>0</v>
      </c>
      <c r="F29">
        <v>23</v>
      </c>
      <c r="G29">
        <v>0</v>
      </c>
      <c r="H29" s="8">
        <v>0</v>
      </c>
    </row>
    <row r="30" spans="1:8" x14ac:dyDescent="0.4">
      <c r="A30" s="60"/>
      <c r="B30" s="11" t="s">
        <v>32</v>
      </c>
      <c r="C30">
        <v>25</v>
      </c>
      <c r="D30">
        <v>1</v>
      </c>
      <c r="E30" s="8">
        <v>0.04</v>
      </c>
      <c r="F30">
        <v>24</v>
      </c>
      <c r="G30">
        <v>0</v>
      </c>
      <c r="H30" s="8">
        <v>0</v>
      </c>
    </row>
    <row r="31" spans="1:8" x14ac:dyDescent="0.4">
      <c r="A31" s="60"/>
      <c r="B31" s="11" t="s">
        <v>33</v>
      </c>
      <c r="C31">
        <v>25</v>
      </c>
      <c r="D31">
        <v>0</v>
      </c>
      <c r="E31" s="8">
        <v>0</v>
      </c>
      <c r="F31">
        <v>24</v>
      </c>
      <c r="G31">
        <v>0</v>
      </c>
      <c r="H31" s="8">
        <v>0</v>
      </c>
    </row>
    <row r="32" spans="1:8" x14ac:dyDescent="0.4">
      <c r="A32" s="60"/>
      <c r="B32" s="11" t="s">
        <v>34</v>
      </c>
      <c r="C32">
        <v>10</v>
      </c>
      <c r="D32">
        <v>0</v>
      </c>
      <c r="E32" s="8">
        <v>0</v>
      </c>
      <c r="F32">
        <v>24</v>
      </c>
      <c r="G32">
        <v>0</v>
      </c>
      <c r="H32" s="8">
        <v>0</v>
      </c>
    </row>
    <row r="33" spans="1:8" x14ac:dyDescent="0.4">
      <c r="A33" s="60"/>
      <c r="B33" s="11" t="s">
        <v>36</v>
      </c>
      <c r="C33">
        <v>18</v>
      </c>
      <c r="D33">
        <v>0</v>
      </c>
      <c r="E33" s="8">
        <v>0</v>
      </c>
      <c r="F33">
        <v>19</v>
      </c>
      <c r="G33">
        <v>0</v>
      </c>
      <c r="H33" s="8">
        <v>0</v>
      </c>
    </row>
    <row r="34" spans="1:8" x14ac:dyDescent="0.4">
      <c r="A34" s="60"/>
      <c r="B34" s="11" t="s">
        <v>37</v>
      </c>
      <c r="C34">
        <v>25</v>
      </c>
      <c r="D34">
        <v>0</v>
      </c>
      <c r="E34" s="8">
        <v>0</v>
      </c>
      <c r="F34">
        <v>14</v>
      </c>
      <c r="G34">
        <v>0</v>
      </c>
      <c r="H34" s="8">
        <v>0</v>
      </c>
    </row>
    <row r="35" spans="1:8" x14ac:dyDescent="0.4">
      <c r="A35" s="60"/>
      <c r="B35" s="11" t="s">
        <v>38</v>
      </c>
      <c r="C35">
        <v>25</v>
      </c>
      <c r="D35">
        <v>0</v>
      </c>
      <c r="E35" s="8">
        <v>0</v>
      </c>
      <c r="F35">
        <v>18</v>
      </c>
      <c r="G35">
        <v>0</v>
      </c>
      <c r="H35" s="8">
        <v>0</v>
      </c>
    </row>
    <row r="36" spans="1:8" x14ac:dyDescent="0.4">
      <c r="A36" s="60"/>
      <c r="B36" s="11" t="s">
        <v>39</v>
      </c>
      <c r="C36">
        <v>24</v>
      </c>
      <c r="D36">
        <v>0</v>
      </c>
      <c r="E36" s="8">
        <v>0</v>
      </c>
      <c r="F36">
        <v>23</v>
      </c>
      <c r="G36">
        <v>0</v>
      </c>
      <c r="H36" s="8">
        <v>0</v>
      </c>
    </row>
    <row r="37" spans="1:8" x14ac:dyDescent="0.4">
      <c r="A37" s="60"/>
      <c r="B37" s="11" t="s">
        <v>40</v>
      </c>
      <c r="C37">
        <v>24</v>
      </c>
      <c r="D37">
        <v>0</v>
      </c>
      <c r="E37" s="8">
        <v>0</v>
      </c>
      <c r="F37">
        <v>24</v>
      </c>
      <c r="G37">
        <v>0</v>
      </c>
      <c r="H37" s="8">
        <v>0</v>
      </c>
    </row>
    <row r="38" spans="1:8" x14ac:dyDescent="0.4">
      <c r="A38" s="60"/>
      <c r="B38" s="11" t="s">
        <v>41</v>
      </c>
      <c r="C38">
        <v>17</v>
      </c>
      <c r="D38">
        <v>0</v>
      </c>
      <c r="E38" s="8">
        <v>0</v>
      </c>
      <c r="F38">
        <v>8</v>
      </c>
      <c r="G38">
        <v>0</v>
      </c>
      <c r="H38" s="8">
        <v>0</v>
      </c>
    </row>
    <row r="39" spans="1:8" x14ac:dyDescent="0.4">
      <c r="A39" s="60"/>
      <c r="B39" s="11" t="s">
        <v>58</v>
      </c>
      <c r="C39">
        <v>16</v>
      </c>
      <c r="D39">
        <v>0</v>
      </c>
      <c r="E39" s="8">
        <v>0</v>
      </c>
      <c r="F39">
        <v>28</v>
      </c>
      <c r="H39" s="8">
        <v>0</v>
      </c>
    </row>
    <row r="40" spans="1:8" x14ac:dyDescent="0.4">
      <c r="A40" s="60"/>
      <c r="B40" s="11" t="s">
        <v>59</v>
      </c>
      <c r="C40">
        <v>13</v>
      </c>
      <c r="D40">
        <v>0</v>
      </c>
      <c r="E40" s="8">
        <v>0</v>
      </c>
      <c r="F40">
        <v>23</v>
      </c>
      <c r="H40" s="8">
        <v>0</v>
      </c>
    </row>
    <row r="41" spans="1:8" x14ac:dyDescent="0.4">
      <c r="A41" s="60"/>
      <c r="B41" s="11" t="s">
        <v>60</v>
      </c>
      <c r="C41">
        <v>15</v>
      </c>
      <c r="D41">
        <v>0</v>
      </c>
      <c r="E41" s="8">
        <v>0</v>
      </c>
      <c r="F41">
        <v>32</v>
      </c>
      <c r="H41" s="8">
        <v>0</v>
      </c>
    </row>
    <row r="42" spans="1:8" x14ac:dyDescent="0.4">
      <c r="A42" s="60"/>
      <c r="B42" s="11" t="s">
        <v>61</v>
      </c>
      <c r="C42">
        <v>13</v>
      </c>
      <c r="D42">
        <v>0</v>
      </c>
      <c r="E42" s="8">
        <v>0</v>
      </c>
      <c r="F42">
        <v>32</v>
      </c>
      <c r="H42" s="8">
        <v>0</v>
      </c>
    </row>
    <row r="43" spans="1:8" x14ac:dyDescent="0.4">
      <c r="A43" s="60"/>
      <c r="B43" s="11" t="s">
        <v>62</v>
      </c>
      <c r="C43">
        <v>15</v>
      </c>
      <c r="D43">
        <v>0</v>
      </c>
      <c r="E43" s="8">
        <v>0</v>
      </c>
      <c r="F43">
        <v>20</v>
      </c>
      <c r="H43" s="8">
        <v>0</v>
      </c>
    </row>
    <row r="44" spans="1:8" x14ac:dyDescent="0.4">
      <c r="A44" s="60"/>
      <c r="B44" s="11" t="s">
        <v>63</v>
      </c>
      <c r="C44">
        <v>14</v>
      </c>
      <c r="D44">
        <v>0</v>
      </c>
      <c r="E44" s="8">
        <v>0</v>
      </c>
      <c r="F44">
        <v>20</v>
      </c>
      <c r="H44" s="8">
        <v>0</v>
      </c>
    </row>
    <row r="45" spans="1:8" x14ac:dyDescent="0.4">
      <c r="A45" s="60"/>
      <c r="B45" s="11" t="s">
        <v>64</v>
      </c>
      <c r="C45">
        <v>15</v>
      </c>
      <c r="D45">
        <v>1</v>
      </c>
      <c r="E45" s="8">
        <v>6.6666666666666666E-2</v>
      </c>
      <c r="F45">
        <v>26</v>
      </c>
      <c r="H45" s="8">
        <v>0</v>
      </c>
    </row>
    <row r="46" spans="1:8" x14ac:dyDescent="0.4">
      <c r="A46" s="60"/>
      <c r="B46" s="11" t="s">
        <v>65</v>
      </c>
      <c r="C46">
        <v>15</v>
      </c>
      <c r="D46">
        <v>0</v>
      </c>
      <c r="E46" s="8">
        <v>0</v>
      </c>
      <c r="F46">
        <v>19</v>
      </c>
      <c r="H46" s="8">
        <v>0</v>
      </c>
    </row>
    <row r="47" spans="1:8" x14ac:dyDescent="0.4">
      <c r="A47" s="60"/>
      <c r="B47" s="11" t="s">
        <v>66</v>
      </c>
      <c r="C47">
        <v>15</v>
      </c>
      <c r="D47">
        <v>0</v>
      </c>
      <c r="E47" s="8">
        <v>0</v>
      </c>
      <c r="F47">
        <v>26</v>
      </c>
      <c r="H47" s="8">
        <v>0</v>
      </c>
    </row>
    <row r="48" spans="1:8" x14ac:dyDescent="0.4">
      <c r="A48" s="60"/>
      <c r="B48" s="11" t="s">
        <v>67</v>
      </c>
      <c r="C48">
        <v>15</v>
      </c>
      <c r="D48">
        <v>1</v>
      </c>
      <c r="E48" s="8">
        <v>6.6666666666666666E-2</v>
      </c>
      <c r="F48">
        <v>30</v>
      </c>
      <c r="H48" s="8">
        <v>0</v>
      </c>
    </row>
    <row r="49" spans="1:8" x14ac:dyDescent="0.4">
      <c r="A49" s="60"/>
      <c r="B49" s="11" t="s">
        <v>68</v>
      </c>
      <c r="C49">
        <v>15</v>
      </c>
      <c r="D49">
        <v>0</v>
      </c>
      <c r="E49" s="8">
        <v>0</v>
      </c>
      <c r="F49">
        <v>16</v>
      </c>
      <c r="H49" s="8">
        <v>0</v>
      </c>
    </row>
    <row r="50" spans="1:8" x14ac:dyDescent="0.4">
      <c r="A50" s="60"/>
      <c r="B50" s="11" t="s">
        <v>69</v>
      </c>
      <c r="C50">
        <v>15</v>
      </c>
      <c r="D50">
        <v>2</v>
      </c>
      <c r="E50" s="8">
        <v>0.13333333333333333</v>
      </c>
      <c r="F50">
        <v>15</v>
      </c>
      <c r="H50" s="8">
        <v>0</v>
      </c>
    </row>
    <row r="51" spans="1:8" x14ac:dyDescent="0.4">
      <c r="A51" s="60"/>
      <c r="B51" s="11" t="s">
        <v>70</v>
      </c>
      <c r="C51">
        <v>15</v>
      </c>
      <c r="D51">
        <v>1</v>
      </c>
      <c r="E51" s="8">
        <v>6.6666666666666666E-2</v>
      </c>
      <c r="F51">
        <v>5</v>
      </c>
      <c r="H51" s="8">
        <v>0</v>
      </c>
    </row>
    <row r="52" spans="1:8" x14ac:dyDescent="0.4">
      <c r="A52" s="60"/>
      <c r="B52" s="11" t="s">
        <v>71</v>
      </c>
      <c r="C52">
        <v>15</v>
      </c>
      <c r="D52">
        <v>2</v>
      </c>
      <c r="E52" s="8">
        <v>0.13333333333333333</v>
      </c>
      <c r="F52">
        <v>19</v>
      </c>
      <c r="H52" s="8">
        <v>0</v>
      </c>
    </row>
    <row r="53" spans="1:8" x14ac:dyDescent="0.4">
      <c r="A53" s="60"/>
      <c r="B53" s="11" t="s">
        <v>72</v>
      </c>
      <c r="C53">
        <v>14</v>
      </c>
      <c r="D53">
        <v>1</v>
      </c>
      <c r="E53" s="8">
        <v>7.1428571428571425E-2</v>
      </c>
      <c r="F53">
        <v>16</v>
      </c>
      <c r="H53" s="8">
        <v>0</v>
      </c>
    </row>
    <row r="54" spans="1:8" x14ac:dyDescent="0.4">
      <c r="A54" s="60"/>
      <c r="B54" s="11" t="s">
        <v>10</v>
      </c>
      <c r="C54">
        <v>14</v>
      </c>
      <c r="D54">
        <v>0</v>
      </c>
      <c r="E54" s="8">
        <v>0</v>
      </c>
      <c r="F54">
        <v>5</v>
      </c>
      <c r="H54" s="8">
        <v>0</v>
      </c>
    </row>
    <row r="55" spans="1:8" x14ac:dyDescent="0.4">
      <c r="A55" s="60"/>
      <c r="B55" s="11" t="s">
        <v>11</v>
      </c>
      <c r="C55">
        <v>12</v>
      </c>
      <c r="D55">
        <v>1</v>
      </c>
      <c r="E55" s="8">
        <v>8.3333333333333329E-2</v>
      </c>
      <c r="F55">
        <v>12</v>
      </c>
      <c r="H55" s="8">
        <v>0</v>
      </c>
    </row>
    <row r="56" spans="1:8" x14ac:dyDescent="0.4">
      <c r="A56" s="60"/>
      <c r="B56" s="11" t="s">
        <v>12</v>
      </c>
      <c r="C56">
        <v>24</v>
      </c>
      <c r="D56">
        <v>0</v>
      </c>
      <c r="E56" s="8">
        <v>0</v>
      </c>
      <c r="F56">
        <v>16</v>
      </c>
      <c r="H56" s="8">
        <v>0</v>
      </c>
    </row>
    <row r="57" spans="1:8" x14ac:dyDescent="0.4">
      <c r="A57" s="33"/>
      <c r="B57" s="11" t="s">
        <v>13</v>
      </c>
    </row>
    <row r="58" spans="1:8" x14ac:dyDescent="0.4">
      <c r="A58" s="33"/>
      <c r="B58" s="11" t="s">
        <v>14</v>
      </c>
    </row>
    <row r="59" spans="1:8" x14ac:dyDescent="0.4">
      <c r="A59" s="33"/>
      <c r="B59" s="11" t="s">
        <v>15</v>
      </c>
    </row>
    <row r="60" spans="1:8" x14ac:dyDescent="0.4">
      <c r="A60" s="33"/>
      <c r="B60" s="11" t="s">
        <v>73</v>
      </c>
    </row>
    <row r="61" spans="1:8" x14ac:dyDescent="0.4">
      <c r="A61" s="33"/>
      <c r="B61" s="11" t="s">
        <v>74</v>
      </c>
    </row>
    <row r="62" spans="1:8" x14ac:dyDescent="0.4">
      <c r="A62" s="33"/>
      <c r="B62" s="11" t="s">
        <v>75</v>
      </c>
    </row>
  </sheetData>
  <mergeCells count="2">
    <mergeCell ref="A2:A7"/>
    <mergeCell ref="A8:A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SARS &amp; Flu HF&amp;Comm &amp;Typhi</vt:lpstr>
      <vt:lpstr>INFLUENZA</vt:lpstr>
      <vt:lpstr>SARCOV2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Edna Viegas</dc:creator>
  <cp:lastModifiedBy>Anisio Bule</cp:lastModifiedBy>
  <dcterms:created xsi:type="dcterms:W3CDTF">2025-04-17T09:38:30Z</dcterms:created>
  <dcterms:modified xsi:type="dcterms:W3CDTF">2025-12-15T19:35:59Z</dcterms:modified>
</cp:coreProperties>
</file>