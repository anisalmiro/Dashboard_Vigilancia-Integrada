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mz-my.sharepoint.com/personal/alex_manuel_ins_gov_mz/Documents/RVIS/Boletim Integrado/"/>
    </mc:Choice>
  </mc:AlternateContent>
  <xr:revisionPtr revIDLastSave="20" documentId="8_{FABEB0C0-2EF2-4255-8216-F04C7764D39D}" xr6:coauthVersionLast="47" xr6:coauthVersionMax="47" xr10:uidLastSave="{EE6468F2-F488-4F78-AB68-F8817F08CDC2}"/>
  <bookViews>
    <workbookView xWindow="-110" yWindow="-110" windowWidth="19420" windowHeight="10300" activeTab="2" xr2:uid="{F3CE73E7-D190-4D11-AF71-EBEE0C7A789A}"/>
  </bookViews>
  <sheets>
    <sheet name="graficos" sheetId="4" r:id="rId1"/>
    <sheet name="Sheet1" sheetId="1" r:id="rId2"/>
    <sheet name="Sheet11" sheetId="11" r:id="rId3"/>
  </sheets>
  <definedNames>
    <definedName name="_xlnm._FilterDatabase" localSheetId="1" hidden="1">Sheet1!$A$1:$M$277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21" i="4" l="1"/>
  <c r="AX37" i="4"/>
  <c r="AU37" i="4"/>
  <c r="AX36" i="4"/>
  <c r="AU36" i="4"/>
  <c r="AX35" i="4"/>
  <c r="AU35" i="4"/>
  <c r="AX34" i="4"/>
  <c r="AU34" i="4"/>
  <c r="AX33" i="4"/>
  <c r="AU33" i="4"/>
  <c r="AX32" i="4"/>
  <c r="AU32" i="4"/>
  <c r="V3" i="4"/>
  <c r="V4" i="4"/>
  <c r="V5" i="4"/>
  <c r="V6" i="4"/>
  <c r="V7" i="4"/>
  <c r="V2" i="4"/>
  <c r="M3" i="4"/>
  <c r="M4" i="4"/>
  <c r="M5" i="4"/>
  <c r="M6" i="4"/>
  <c r="M7" i="4"/>
  <c r="M2" i="4"/>
  <c r="G8" i="4"/>
  <c r="F8" i="4"/>
  <c r="AI31" i="4"/>
  <c r="AH31" i="4"/>
  <c r="P9" i="4"/>
  <c r="Y11" i="4" s="1"/>
  <c r="AY6" i="4"/>
  <c r="AY7" i="4"/>
  <c r="AY8" i="4"/>
  <c r="AY9" i="4"/>
  <c r="AY5" i="4"/>
  <c r="Y7" i="4" l="1"/>
  <c r="Y8" i="4"/>
  <c r="Y9" i="4"/>
  <c r="Y10" i="4"/>
</calcChain>
</file>

<file path=xl/sharedStrings.xml><?xml version="1.0" encoding="utf-8"?>
<sst xmlns="http://schemas.openxmlformats.org/spreadsheetml/2006/main" count="2795" uniqueCount="458">
  <si>
    <t>Data collection</t>
  </si>
  <si>
    <t>Cod</t>
  </si>
  <si>
    <t>Month</t>
  </si>
  <si>
    <t>No de Casos Suspeitos</t>
  </si>
  <si>
    <t xml:space="preserve">Provenience </t>
  </si>
  <si>
    <t>Sex</t>
  </si>
  <si>
    <t>Age</t>
  </si>
  <si>
    <t>Culture</t>
  </si>
  <si>
    <t>PCR</t>
  </si>
  <si>
    <t>PNC2167980</t>
  </si>
  <si>
    <t>Muatala</t>
  </si>
  <si>
    <t>M</t>
  </si>
  <si>
    <t>3A</t>
  </si>
  <si>
    <t>Negativa</t>
  </si>
  <si>
    <t>Not tested</t>
  </si>
  <si>
    <t>PNC2167985</t>
  </si>
  <si>
    <t>12M</t>
  </si>
  <si>
    <t>PNC2167975</t>
  </si>
  <si>
    <t>Mutauanha</t>
  </si>
  <si>
    <t>2A</t>
  </si>
  <si>
    <t>PNC2167859</t>
  </si>
  <si>
    <t>Carrupeia</t>
  </si>
  <si>
    <t>7M</t>
  </si>
  <si>
    <t>PNC2169904</t>
  </si>
  <si>
    <t>Murrapaniua</t>
  </si>
  <si>
    <t>7A</t>
  </si>
  <si>
    <t>PNC2169900</t>
  </si>
  <si>
    <t>Muahivire</t>
  </si>
  <si>
    <t>F</t>
  </si>
  <si>
    <t>27A</t>
  </si>
  <si>
    <t>PNC2169855</t>
  </si>
  <si>
    <t>4M</t>
  </si>
  <si>
    <t>PNC2169861</t>
  </si>
  <si>
    <t>4A</t>
  </si>
  <si>
    <t>PNC2168916</t>
  </si>
  <si>
    <t>PNC2170340</t>
  </si>
  <si>
    <t>1A</t>
  </si>
  <si>
    <t>PNC2170318</t>
  </si>
  <si>
    <t>Namicopo</t>
  </si>
  <si>
    <t>5A</t>
  </si>
  <si>
    <t>PNC2170319</t>
  </si>
  <si>
    <t>Nampula</t>
  </si>
  <si>
    <t>8M</t>
  </si>
  <si>
    <t>S. pneumoniae</t>
  </si>
  <si>
    <t>PNC2170783</t>
  </si>
  <si>
    <t>Pemba-Cabo Delgado</t>
  </si>
  <si>
    <t>8A</t>
  </si>
  <si>
    <t>PNC2171163</t>
  </si>
  <si>
    <t>Nacala</t>
  </si>
  <si>
    <t>3M</t>
  </si>
  <si>
    <t>PNC2172466</t>
  </si>
  <si>
    <t>6A</t>
  </si>
  <si>
    <t>PNC2172516</t>
  </si>
  <si>
    <t>Natikire</t>
  </si>
  <si>
    <t>PNC2173216</t>
  </si>
  <si>
    <t>Nametil</t>
  </si>
  <si>
    <t>PNC2177105</t>
  </si>
  <si>
    <t>Murrupula</t>
  </si>
  <si>
    <t>45M</t>
  </si>
  <si>
    <t>PNC2177108</t>
  </si>
  <si>
    <t>6M</t>
  </si>
  <si>
    <t>PNC2178603</t>
  </si>
  <si>
    <t>PNC2178471</t>
  </si>
  <si>
    <t>Bairro Central-NPL</t>
  </si>
  <si>
    <t>59A</t>
  </si>
  <si>
    <t>PNC2178556</t>
  </si>
  <si>
    <t>PNC2179840</t>
  </si>
  <si>
    <t>Nampaco</t>
  </si>
  <si>
    <t>PNC2177948</t>
  </si>
  <si>
    <t>38M</t>
  </si>
  <si>
    <t>PNC2179847</t>
  </si>
  <si>
    <t>Namutequeliua</t>
  </si>
  <si>
    <t>PNC2179547</t>
  </si>
  <si>
    <t>PNC2179410</t>
  </si>
  <si>
    <t>Anchilo</t>
  </si>
  <si>
    <t>PNC2179416</t>
  </si>
  <si>
    <t>K. pneumoniae</t>
  </si>
  <si>
    <t>PNC2180717</t>
  </si>
  <si>
    <t>PNC2181525</t>
  </si>
  <si>
    <t>26M</t>
  </si>
  <si>
    <t>PNC2182294</t>
  </si>
  <si>
    <t>Melute-B</t>
  </si>
  <si>
    <t>PNC2182292</t>
  </si>
  <si>
    <t>Nacaroa</t>
  </si>
  <si>
    <t>5M</t>
  </si>
  <si>
    <t>PNC2182847</t>
  </si>
  <si>
    <t>PNC2184247</t>
  </si>
  <si>
    <t>11M</t>
  </si>
  <si>
    <t>Negativo</t>
  </si>
  <si>
    <t>PNC2186180</t>
  </si>
  <si>
    <t>Murriasse</t>
  </si>
  <si>
    <t>PNC2187272</t>
  </si>
  <si>
    <t>1M</t>
  </si>
  <si>
    <t>PNC2188202</t>
  </si>
  <si>
    <t>PNC2188204</t>
  </si>
  <si>
    <t>PNC2188203</t>
  </si>
  <si>
    <t>PNC2189771</t>
  </si>
  <si>
    <t>PNC2189770</t>
  </si>
  <si>
    <t>PNC2189090</t>
  </si>
  <si>
    <t>PNC2190596</t>
  </si>
  <si>
    <t>PNC2190838</t>
  </si>
  <si>
    <t>PNC2192278</t>
  </si>
  <si>
    <t>PNC2191823</t>
  </si>
  <si>
    <t>PNC2191858</t>
  </si>
  <si>
    <t>11A</t>
  </si>
  <si>
    <t>PNC2191908</t>
  </si>
  <si>
    <t>PNC2193919</t>
  </si>
  <si>
    <t>Escherichia coli</t>
  </si>
  <si>
    <t>PNC2194494</t>
  </si>
  <si>
    <t>PNC2194296</t>
  </si>
  <si>
    <t>PNC2195772</t>
  </si>
  <si>
    <t>Muhala Expansao</t>
  </si>
  <si>
    <t>PNC2195849</t>
  </si>
  <si>
    <t>Namiepe</t>
  </si>
  <si>
    <t>PNC2195501</t>
  </si>
  <si>
    <t>13M</t>
  </si>
  <si>
    <t>PNC2197274</t>
  </si>
  <si>
    <t>PNC2197171</t>
  </si>
  <si>
    <t>Marrere</t>
  </si>
  <si>
    <t>PNC2197653</t>
  </si>
  <si>
    <t>Malema</t>
  </si>
  <si>
    <t>PNC2197669</t>
  </si>
  <si>
    <t>Angoche</t>
  </si>
  <si>
    <t>PNC2197649</t>
  </si>
  <si>
    <t>PNC2197713</t>
  </si>
  <si>
    <t>22A</t>
  </si>
  <si>
    <t>PNC2199661</t>
  </si>
  <si>
    <t>Namiteca</t>
  </si>
  <si>
    <t>PNC2200764</t>
  </si>
  <si>
    <t>PNC2200766</t>
  </si>
  <si>
    <t>PNC2201718</t>
  </si>
  <si>
    <t>PNC2201747</t>
  </si>
  <si>
    <t>Namapa-Erati</t>
  </si>
  <si>
    <t>PNC2201743</t>
  </si>
  <si>
    <t>PNC2201749</t>
  </si>
  <si>
    <t>PNC2202140</t>
  </si>
  <si>
    <t>PNC2202472</t>
  </si>
  <si>
    <t>PNC2202465</t>
  </si>
  <si>
    <t>PNC2202453</t>
  </si>
  <si>
    <t>PNC2202482</t>
  </si>
  <si>
    <t>H. influenzae</t>
  </si>
  <si>
    <t>PNC2204039</t>
  </si>
  <si>
    <t>PNC2204042</t>
  </si>
  <si>
    <t>9M</t>
  </si>
  <si>
    <t>PNC2204038</t>
  </si>
  <si>
    <t>PNC2204040</t>
  </si>
  <si>
    <t>PNC2204041</t>
  </si>
  <si>
    <t>Maratane</t>
  </si>
  <si>
    <t>PNC2205132</t>
  </si>
  <si>
    <t>PNC2205128</t>
  </si>
  <si>
    <t>PNC2205491</t>
  </si>
  <si>
    <t>PNC2206839</t>
  </si>
  <si>
    <t>PNC2206497</t>
  </si>
  <si>
    <t>PNC2207737</t>
  </si>
  <si>
    <t>PNC2210700</t>
  </si>
  <si>
    <t>PNC2210701</t>
  </si>
  <si>
    <t>PNC2210660</t>
  </si>
  <si>
    <t>PNC2210656</t>
  </si>
  <si>
    <t>PNC2210648</t>
  </si>
  <si>
    <t>PNC2210201</t>
  </si>
  <si>
    <t>PNC2210189</t>
  </si>
  <si>
    <t>PNC2210226</t>
  </si>
  <si>
    <t>PNC2210166</t>
  </si>
  <si>
    <t>Napipine</t>
  </si>
  <si>
    <t>PNC2210192</t>
  </si>
  <si>
    <t>PNC2210380</t>
  </si>
  <si>
    <t>2M</t>
  </si>
  <si>
    <t>PNC2211037</t>
  </si>
  <si>
    <t>PNC2210912</t>
  </si>
  <si>
    <t>PNC2211044</t>
  </si>
  <si>
    <t>Mutava Rex</t>
  </si>
  <si>
    <t>PNC2111043</t>
  </si>
  <si>
    <t>PNC2211357</t>
  </si>
  <si>
    <t>18M</t>
  </si>
  <si>
    <t>PNC2213419</t>
  </si>
  <si>
    <t>PNC2213413</t>
  </si>
  <si>
    <t>PNC2214451</t>
  </si>
  <si>
    <t>PNC2214081</t>
  </si>
  <si>
    <t>Netia</t>
  </si>
  <si>
    <t>PNC2214071</t>
  </si>
  <si>
    <t>PNC2213954</t>
  </si>
  <si>
    <t>PNC2214103</t>
  </si>
  <si>
    <t>PNC2214092</t>
  </si>
  <si>
    <t>PNC2215053</t>
  </si>
  <si>
    <t>PNC2215895</t>
  </si>
  <si>
    <t>20M</t>
  </si>
  <si>
    <t>PNC2217032</t>
  </si>
  <si>
    <t>15M</t>
  </si>
  <si>
    <t>PNC2216888</t>
  </si>
  <si>
    <t>PNC2217028</t>
  </si>
  <si>
    <t>PNC2217026</t>
  </si>
  <si>
    <t>PNC2217743</t>
  </si>
  <si>
    <t>16M</t>
  </si>
  <si>
    <t>PNC2217958</t>
  </si>
  <si>
    <t>PNC2217959</t>
  </si>
  <si>
    <t>Memba</t>
  </si>
  <si>
    <t>PNC2218425</t>
  </si>
  <si>
    <t>PNC2218728</t>
  </si>
  <si>
    <t>PNC2220419</t>
  </si>
  <si>
    <t>Namaita</t>
  </si>
  <si>
    <t>PNC2220237</t>
  </si>
  <si>
    <t>PNC2220234</t>
  </si>
  <si>
    <t>PNC2220478</t>
  </si>
  <si>
    <t>9A</t>
  </si>
  <si>
    <t>PNC2220474</t>
  </si>
  <si>
    <t>PNC2220481</t>
  </si>
  <si>
    <t>PNC2220978</t>
  </si>
  <si>
    <t>Mecuburi</t>
  </si>
  <si>
    <t>PNC2221673</t>
  </si>
  <si>
    <t>PNC2223482</t>
  </si>
  <si>
    <t>PNC2223330</t>
  </si>
  <si>
    <t>PNC2223483</t>
  </si>
  <si>
    <t>PNC2223896</t>
  </si>
  <si>
    <t>PNC2223898</t>
  </si>
  <si>
    <t>PNC2223975</t>
  </si>
  <si>
    <t>PNC2223970</t>
  </si>
  <si>
    <t>19M</t>
  </si>
  <si>
    <t>PNC2224562</t>
  </si>
  <si>
    <t>PNC2225857</t>
  </si>
  <si>
    <t>PNC2225806</t>
  </si>
  <si>
    <t>PNC2225807</t>
  </si>
  <si>
    <t>PNC2225805</t>
  </si>
  <si>
    <t>PNC2225804</t>
  </si>
  <si>
    <t>PNC2225815</t>
  </si>
  <si>
    <t>PNC2226718</t>
  </si>
  <si>
    <t>36DV</t>
  </si>
  <si>
    <t>PNC2227523</t>
  </si>
  <si>
    <t>PNC2227665</t>
  </si>
  <si>
    <t>PNC2227634</t>
  </si>
  <si>
    <t>PNC2227672</t>
  </si>
  <si>
    <t>PNC2228946</t>
  </si>
  <si>
    <t>PNC2230059</t>
  </si>
  <si>
    <t>PNC2229969</t>
  </si>
  <si>
    <t>PNC2230055</t>
  </si>
  <si>
    <t>PNC2230052</t>
  </si>
  <si>
    <t>Staphylococos aureus</t>
  </si>
  <si>
    <t>PNC2230057</t>
  </si>
  <si>
    <t>14M</t>
  </si>
  <si>
    <t>PNC2230418</t>
  </si>
  <si>
    <t>PNC2230376</t>
  </si>
  <si>
    <t>PNC2230349</t>
  </si>
  <si>
    <t>PNC2230477</t>
  </si>
  <si>
    <t>PNC2230479</t>
  </si>
  <si>
    <t>10M</t>
  </si>
  <si>
    <t>PNC2230401</t>
  </si>
  <si>
    <t>PNC2230374</t>
  </si>
  <si>
    <t>Moma</t>
  </si>
  <si>
    <t>PNC2230372</t>
  </si>
  <si>
    <t>PNC2231962</t>
  </si>
  <si>
    <t>PNC2231961</t>
  </si>
  <si>
    <t>PNC2231953</t>
  </si>
  <si>
    <t>PNC2231901</t>
  </si>
  <si>
    <t>PNC2231876</t>
  </si>
  <si>
    <t>Namialo</t>
  </si>
  <si>
    <t>PNC2232459</t>
  </si>
  <si>
    <t>PNC2232457</t>
  </si>
  <si>
    <t>35A</t>
  </si>
  <si>
    <t>PNC2232458</t>
  </si>
  <si>
    <t>31A</t>
  </si>
  <si>
    <t>PNC2232304</t>
  </si>
  <si>
    <t>PNC2232570</t>
  </si>
  <si>
    <t>PNC2233480</t>
  </si>
  <si>
    <t>PNC2233288</t>
  </si>
  <si>
    <t>25M</t>
  </si>
  <si>
    <t>PNC2233424</t>
  </si>
  <si>
    <t>PNC2233477</t>
  </si>
  <si>
    <t>PNC2233421</t>
  </si>
  <si>
    <t>PNC2234945</t>
  </si>
  <si>
    <t>PNC2234958</t>
  </si>
  <si>
    <t>PNC2234549</t>
  </si>
  <si>
    <t>PNC2234980</t>
  </si>
  <si>
    <t>60A</t>
  </si>
  <si>
    <t>PNC2235935</t>
  </si>
  <si>
    <t>Chalaua</t>
  </si>
  <si>
    <t>PNC2236056</t>
  </si>
  <si>
    <t>PNC2236523</t>
  </si>
  <si>
    <t>PNC2237003</t>
  </si>
  <si>
    <t>Mutauanha-Piloto</t>
  </si>
  <si>
    <t>PNC2236998</t>
  </si>
  <si>
    <t>PNC2237069</t>
  </si>
  <si>
    <t>PNC2237070</t>
  </si>
  <si>
    <t>PNC2237072</t>
  </si>
  <si>
    <t>PNC2239090</t>
  </si>
  <si>
    <t>PNC2239089</t>
  </si>
  <si>
    <t>PNC2239075</t>
  </si>
  <si>
    <t>PNC2239088</t>
  </si>
  <si>
    <t>PNC2239059</t>
  </si>
  <si>
    <t>PNC2239053</t>
  </si>
  <si>
    <t>PNC2238220</t>
  </si>
  <si>
    <t>PNC2238234</t>
  </si>
  <si>
    <t>32A</t>
  </si>
  <si>
    <t>PNC2240482</t>
  </si>
  <si>
    <t>Mossuril</t>
  </si>
  <si>
    <t>PNC2240423</t>
  </si>
  <si>
    <t>PNC2242379</t>
  </si>
  <si>
    <t>PNC2242369</t>
  </si>
  <si>
    <t>PNC2242660</t>
  </si>
  <si>
    <t>PNC2244221</t>
  </si>
  <si>
    <t>Mogovolas</t>
  </si>
  <si>
    <t>PNC2244216</t>
  </si>
  <si>
    <t>Muecate</t>
  </si>
  <si>
    <t>PNC2246817</t>
  </si>
  <si>
    <t>Muhala</t>
  </si>
  <si>
    <t>PNC2246244</t>
  </si>
  <si>
    <t>PNC2246208</t>
  </si>
  <si>
    <t>PNC2246247</t>
  </si>
  <si>
    <t>PNC2247612</t>
  </si>
  <si>
    <t>21M</t>
  </si>
  <si>
    <t>PNC2248358</t>
  </si>
  <si>
    <t>PNC2248671</t>
  </si>
  <si>
    <t>PNC2248518</t>
  </si>
  <si>
    <t>PNC2251481</t>
  </si>
  <si>
    <t>PNC2251832</t>
  </si>
  <si>
    <t>PNC2251906</t>
  </si>
  <si>
    <t>PNC2251503</t>
  </si>
  <si>
    <t>PNC2251504</t>
  </si>
  <si>
    <t>PNC2251905</t>
  </si>
  <si>
    <t>PNC2251907</t>
  </si>
  <si>
    <t>PNC2254760</t>
  </si>
  <si>
    <t>PNC2255830</t>
  </si>
  <si>
    <t>29DV</t>
  </si>
  <si>
    <t>PNC2256904</t>
  </si>
  <si>
    <t>PNC2257168</t>
  </si>
  <si>
    <t>PNC2257185</t>
  </si>
  <si>
    <t>33A</t>
  </si>
  <si>
    <t>PNC2256859</t>
  </si>
  <si>
    <t>PNC2258725</t>
  </si>
  <si>
    <t>PNC2260125</t>
  </si>
  <si>
    <t>PNC2259717</t>
  </si>
  <si>
    <t>PNC2259692</t>
  </si>
  <si>
    <t>Muha Expansao</t>
  </si>
  <si>
    <t>50A</t>
  </si>
  <si>
    <t>PNC2261952</t>
  </si>
  <si>
    <t>PNC2263425</t>
  </si>
  <si>
    <t>PNC2263433</t>
  </si>
  <si>
    <t>Namigonha-NPL</t>
  </si>
  <si>
    <t>PNC2263695</t>
  </si>
  <si>
    <t>17A</t>
  </si>
  <si>
    <t>Rapale</t>
  </si>
  <si>
    <t>Ribaue</t>
  </si>
  <si>
    <t>Monapo</t>
  </si>
  <si>
    <t>Nacala Porto</t>
  </si>
  <si>
    <t>Memoria-Namutequeliua</t>
  </si>
  <si>
    <t>Nametil-Mogovolas</t>
  </si>
  <si>
    <t>Alto Molocue-Zambezia</t>
  </si>
  <si>
    <t>Jan</t>
  </si>
  <si>
    <t>Fev</t>
  </si>
  <si>
    <t>Mar</t>
  </si>
  <si>
    <t>Abril</t>
  </si>
  <si>
    <t>Maio</t>
  </si>
  <si>
    <t>Junho</t>
  </si>
  <si>
    <t>Ano</t>
  </si>
  <si>
    <t>2026-Jan</t>
  </si>
  <si>
    <t>2026-Fev</t>
  </si>
  <si>
    <t>2026-Mar</t>
  </si>
  <si>
    <t>2026-Abr</t>
  </si>
  <si>
    <t>2026-Mai</t>
  </si>
  <si>
    <t>Mes</t>
  </si>
  <si>
    <t>Row Labels</t>
  </si>
  <si>
    <t>Grand Total</t>
  </si>
  <si>
    <t>Count of Culture</t>
  </si>
  <si>
    <t>Ano-2025</t>
  </si>
  <si>
    <t>Ano-2026</t>
  </si>
  <si>
    <t>Abr</t>
  </si>
  <si>
    <t>Mai</t>
  </si>
  <si>
    <t>Jun</t>
  </si>
  <si>
    <t>Casos suspeitos</t>
  </si>
  <si>
    <t>Total</t>
  </si>
  <si>
    <t>Positivos</t>
  </si>
  <si>
    <t>Semana epidemiologica</t>
  </si>
  <si>
    <t>(blank)</t>
  </si>
  <si>
    <t>Suspeitos 2025</t>
  </si>
  <si>
    <t>Suspeitos 2026</t>
  </si>
  <si>
    <t>01.06.2026</t>
  </si>
  <si>
    <t>PNC2264579</t>
  </si>
  <si>
    <t>PNC2264587</t>
  </si>
  <si>
    <t>PNC2264833</t>
  </si>
  <si>
    <t>PNC2264892</t>
  </si>
  <si>
    <t>03.06.2026</t>
  </si>
  <si>
    <t>PNC2267310</t>
  </si>
  <si>
    <t>04.06.2026</t>
  </si>
  <si>
    <t>PNC2267658</t>
  </si>
  <si>
    <t>PNC2267648</t>
  </si>
  <si>
    <t>05.06.2026</t>
  </si>
  <si>
    <t>PNC2269032</t>
  </si>
  <si>
    <t>08.06.2025</t>
  </si>
  <si>
    <t>PNC2269828</t>
  </si>
  <si>
    <t>09.06.2026</t>
  </si>
  <si>
    <t>PNC2270632</t>
  </si>
  <si>
    <t>PNC2270703</t>
  </si>
  <si>
    <t>10.06.2026</t>
  </si>
  <si>
    <t>PNC2270867</t>
  </si>
  <si>
    <t>PNC2270801</t>
  </si>
  <si>
    <t>Marratane</t>
  </si>
  <si>
    <t>11.06.2026</t>
  </si>
  <si>
    <t>PNC2274103</t>
  </si>
  <si>
    <t>PNC2273016</t>
  </si>
  <si>
    <t>PNC2276045</t>
  </si>
  <si>
    <t>22 de Agosto</t>
  </si>
  <si>
    <t>PNC2272552</t>
  </si>
  <si>
    <t>25A</t>
  </si>
  <si>
    <t>15.06.2026</t>
  </si>
  <si>
    <t>PNC2275269</t>
  </si>
  <si>
    <t>38A</t>
  </si>
  <si>
    <t>PNC2275288</t>
  </si>
  <si>
    <t>PNC2275205</t>
  </si>
  <si>
    <t>Mocuache</t>
  </si>
  <si>
    <t>PNC2274870</t>
  </si>
  <si>
    <t>16.06.2026</t>
  </si>
  <si>
    <t>PNC2276622</t>
  </si>
  <si>
    <t>17.06.2026</t>
  </si>
  <si>
    <t>PNC2277070</t>
  </si>
  <si>
    <t>PNC2277687</t>
  </si>
  <si>
    <t>18.06.2026</t>
  </si>
  <si>
    <t>PNC2279080</t>
  </si>
  <si>
    <t>PNC2278932</t>
  </si>
  <si>
    <t>PNC2278500</t>
  </si>
  <si>
    <t>19.06.2026</t>
  </si>
  <si>
    <t>PNC2280347</t>
  </si>
  <si>
    <t>PNC2280325</t>
  </si>
  <si>
    <t>22.06.2026</t>
  </si>
  <si>
    <t>PNC2282189</t>
  </si>
  <si>
    <t>23.06.2026</t>
  </si>
  <si>
    <t>PNC2282849</t>
  </si>
  <si>
    <t>PNC2283530</t>
  </si>
  <si>
    <t>PNC2283207</t>
  </si>
  <si>
    <t>PNC2283195</t>
  </si>
  <si>
    <t>PNC2283232</t>
  </si>
  <si>
    <t>PNC2283196</t>
  </si>
  <si>
    <t>24.06.2026</t>
  </si>
  <si>
    <t>PNC2284215</t>
  </si>
  <si>
    <t>PNC2284384</t>
  </si>
  <si>
    <t>26.06.2026</t>
  </si>
  <si>
    <t>PNC2285200</t>
  </si>
  <si>
    <t>PNC2284997</t>
  </si>
  <si>
    <t>29.06.2026</t>
  </si>
  <si>
    <t>PNC2286034</t>
  </si>
  <si>
    <t>30.06.2026</t>
  </si>
  <si>
    <t>PNC2287702</t>
  </si>
  <si>
    <t>PNC2287703</t>
  </si>
  <si>
    <t>PNC2287704</t>
  </si>
  <si>
    <t>PNC2287705</t>
  </si>
  <si>
    <t>&lt;5A</t>
  </si>
  <si>
    <t>&gt;=5A</t>
  </si>
  <si>
    <t>Idade</t>
  </si>
  <si>
    <t>Cryptococos neoformans</t>
  </si>
  <si>
    <t>Haemophilus influenzae</t>
  </si>
  <si>
    <t>Klebsiella pneumoniae</t>
  </si>
  <si>
    <t>Neisseria meningitidis</t>
  </si>
  <si>
    <t>Streptococcus pneumoniae</t>
  </si>
  <si>
    <t>I Semestre-2026</t>
  </si>
  <si>
    <t>I Semestre-2025</t>
  </si>
  <si>
    <t>Positividade 2026</t>
  </si>
  <si>
    <t>Casos suspeitos 2026</t>
  </si>
  <si>
    <t>Casos suspeitos 2025</t>
  </si>
  <si>
    <t>Positividade 2025</t>
  </si>
  <si>
    <t>%</t>
  </si>
  <si>
    <t>Taxa de Positividade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</si>
</sst>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rgb="FFFF0000"/>
      <name val="Arial Black"/>
      <family val="2"/>
    </font>
    <font>
      <sz val="11"/>
      <color theme="1" tint="4.9989318521683403E-2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0" fillId="0" borderId="0" xfId="0" applyAlignment="1">
      <alignment horizontal="left"/>
    </xf>
    <xf numFmtId="0" fontId="1" fillId="3" borderId="2" xfId="0" applyFont="1" applyFill="1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3" xfId="0" applyBorder="1"/>
    <xf numFmtId="0" fontId="0" fillId="4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5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graficos!$X$6</c:f>
              <c:strCache>
                <c:ptCount val="1"/>
                <c:pt idx="0">
                  <c:v>Positivos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95-49A2-8150-67F5CD3CDA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5-49A2-8150-67F5CD3CDA7E}"/>
              </c:ext>
            </c:extLst>
          </c:dPt>
          <c:dPt>
            <c:idx val="3"/>
            <c:invertIfNegative val="0"/>
            <c:bubble3D val="0"/>
            <c:spPr>
              <a:solidFill>
                <a:srgbClr val="A65E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95-49A2-8150-67F5CD3CDA7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95-49A2-8150-67F5CD3CDA7E}"/>
              </c:ext>
            </c:extLst>
          </c:dPt>
          <c:cat>
            <c:strRef>
              <c:f>graficos!$W$7:$W$11</c:f>
              <c:strCache>
                <c:ptCount val="5"/>
                <c:pt idx="0">
                  <c:v>H. influenzae</c:v>
                </c:pt>
                <c:pt idx="1">
                  <c:v>K. pneumoniae</c:v>
                </c:pt>
                <c:pt idx="2">
                  <c:v>S. pneumoniae</c:v>
                </c:pt>
                <c:pt idx="3">
                  <c:v>Escherichia coli</c:v>
                </c:pt>
                <c:pt idx="4">
                  <c:v>Staphylococos aureus</c:v>
                </c:pt>
              </c:strCache>
            </c:strRef>
          </c:cat>
          <c:val>
            <c:numRef>
              <c:f>graficos!$X$7:$X$11</c:f>
              <c:numCache>
                <c:formatCode>0.0</c:formatCode>
                <c:ptCount val="5"/>
                <c:pt idx="0">
                  <c:v>3.6231884057971016</c:v>
                </c:pt>
                <c:pt idx="1">
                  <c:v>2.8985507246376812</c:v>
                </c:pt>
                <c:pt idx="2">
                  <c:v>2.5362318840579712</c:v>
                </c:pt>
                <c:pt idx="3">
                  <c:v>1.8115942028985508</c:v>
                </c:pt>
                <c:pt idx="4">
                  <c:v>0.36231884057971014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2-49CB-9EB4-A9C2531C7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32143"/>
        <c:axId val="152626639"/>
      </c:barChart>
      <c:catAx>
        <c:axId val="195703214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Tipo de isolado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6639"/>
        <c:crosses val="autoZero"/>
        <c:auto val="1"/>
        <c:lblAlgn val="ctr"/>
        <c:lblOffset val="100"/>
        <c:noMultiLvlLbl val="0"/>
      </c:catAx>
      <c:valAx>
        <c:axId val="1526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Taxa  de positividade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cross"/>
        <c:minorTickMark val="cross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u="none" strike="noStrike" kern="1200" spc="0" baseline="0">
                <a:solidFill>
                  <a:schemeClr val="tx1"/>
                </a:solidFill>
              </a:rPr>
              <a:t>Taxa de positividade semestral da meningite bacteriana em Nampula entre 2025 e 2026</a:t>
            </a:r>
            <a:endParaRPr lang="en-GB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graficos!$AT$13</c:f>
              <c:strCache>
                <c:ptCount val="1"/>
                <c:pt idx="0">
                  <c:v>Casos suspeitos 2026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graficos!$AR$14:$AR$19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graficos!$AT$14:$AT$19</c:f>
              <c:numCache>
                <c:formatCode>General</c:formatCode>
                <c:ptCount val="6"/>
                <c:pt idx="0">
                  <c:v>33</c:v>
                </c:pt>
                <c:pt idx="1">
                  <c:v>34</c:v>
                </c:pt>
                <c:pt idx="2">
                  <c:v>59</c:v>
                </c:pt>
                <c:pt idx="3">
                  <c:v>55</c:v>
                </c:pt>
                <c:pt idx="4">
                  <c:v>50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F-4C5B-9FBC-2E2FFBFAB00B}"/>
            </c:ext>
          </c:extLst>
        </c:ser>
        <c:ser>
          <c:idx val="3"/>
          <c:order val="4"/>
          <c:tx>
            <c:strRef>
              <c:f>graficos!$AW$13</c:f>
              <c:strCache>
                <c:ptCount val="1"/>
                <c:pt idx="0">
                  <c:v>Casos suspeitos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graficos!$AR$14:$AR$19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graficos!$AW$14:$AW$19</c:f>
              <c:numCache>
                <c:formatCode>General</c:formatCode>
                <c:ptCount val="6"/>
                <c:pt idx="0">
                  <c:v>53</c:v>
                </c:pt>
                <c:pt idx="1">
                  <c:v>50</c:v>
                </c:pt>
                <c:pt idx="2">
                  <c:v>57</c:v>
                </c:pt>
                <c:pt idx="3">
                  <c:v>62</c:v>
                </c:pt>
                <c:pt idx="4">
                  <c:v>67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0F-4C5B-9FBC-2E2FFBFAB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5400495"/>
        <c:axId val="351145263"/>
      </c:barChart>
      <c:barChart>
        <c:barDir val="col"/>
        <c:grouping val="clustered"/>
        <c:varyColors val="0"/>
        <c:ser>
          <c:idx val="4"/>
          <c:order val="2"/>
          <c:tx>
            <c:strRef>
              <c:f>graficos!$AU$13</c:f>
              <c:strCache>
                <c:ptCount val="1"/>
                <c:pt idx="0">
                  <c:v>Positividade 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graficos!$AU$14:$AU$19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D-4AFF-9A76-F2549422AF78}"/>
            </c:ext>
          </c:extLst>
        </c:ser>
        <c:ser>
          <c:idx val="5"/>
          <c:order val="5"/>
          <c:tx>
            <c:strRef>
              <c:f>graficos!$AX$13</c:f>
              <c:strCache>
                <c:ptCount val="1"/>
                <c:pt idx="0">
                  <c:v>Positividade 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graficos!$AX$14:$AX$19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D-4AFF-9A76-F2549422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6"/>
        <c:overlap val="-27"/>
        <c:axId val="435254335"/>
        <c:axId val="351094383"/>
      </c:barChart>
      <c:lineChart>
        <c:grouping val="standard"/>
        <c:varyColors val="0"/>
        <c:ser>
          <c:idx val="0"/>
          <c:order val="0"/>
          <c:tx>
            <c:strRef>
              <c:f>graficos!$AS$13</c:f>
              <c:strCache>
                <c:ptCount val="1"/>
                <c:pt idx="0">
                  <c:v>Taxa de Positividade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graficos!$AR$14:$AR$19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graficos!$AS$14:$AS$19</c:f>
              <c:numCache>
                <c:formatCode>0.0</c:formatCode>
                <c:ptCount val="6"/>
                <c:pt idx="0">
                  <c:v>12.121212121212121</c:v>
                </c:pt>
                <c:pt idx="1">
                  <c:v>14.705882352941178</c:v>
                </c:pt>
                <c:pt idx="2">
                  <c:v>16.949152542372879</c:v>
                </c:pt>
                <c:pt idx="3">
                  <c:v>7.2727272727272725</c:v>
                </c:pt>
                <c:pt idx="4">
                  <c:v>6</c:v>
                </c:pt>
                <c:pt idx="5">
                  <c:v>8.8888888888888893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F-4C5B-9FBC-2E2FFBFAB00B}"/>
            </c:ext>
          </c:extLst>
        </c:ser>
        <c:ser>
          <c:idx val="2"/>
          <c:order val="3"/>
          <c:tx>
            <c:strRef>
              <c:f>graficos!$AV$13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Scribble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strRef>
              <c:f>graficos!$AR$14:$AR$19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graficos!$AV$14:$AV$19</c:f>
              <c:numCache>
                <c:formatCode>0.0</c:formatCode>
                <c:ptCount val="6"/>
                <c:pt idx="0">
                  <c:v>7.5471698113207504</c:v>
                </c:pt>
                <c:pt idx="1">
                  <c:v>10</c:v>
                </c:pt>
                <c:pt idx="2">
                  <c:v>17.543859649122805</c:v>
                </c:pt>
                <c:pt idx="3">
                  <c:v>8.064516129032258</c:v>
                </c:pt>
                <c:pt idx="4">
                  <c:v>4.4776119402985071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0F-4C5B-9FBC-2E2FFBFAB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254335"/>
        <c:axId val="351094383"/>
      </c:lineChart>
      <c:catAx>
        <c:axId val="43540049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Tipo de isolado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45263"/>
        <c:crosses val="autoZero"/>
        <c:auto val="1"/>
        <c:lblAlgn val="ctr"/>
        <c:lblOffset val="100"/>
        <c:tickMarkSkip val="1"/>
        <c:noMultiLvlLbl val="0"/>
      </c:catAx>
      <c:valAx>
        <c:axId val="351145263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Número de</a:t>
                </a:r>
                <a:r>
                  <a:rPr lang="en-GB" b="1" baseline="0">
                    <a:solidFill>
                      <a:schemeClr val="tx1"/>
                    </a:solidFill>
                  </a:rPr>
                  <a:t> casos suspeitos</a:t>
                </a:r>
                <a:endParaRPr lang="en-GB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00495"/>
        <c:crosses val="autoZero"/>
        <c:crossBetween val="between"/>
      </c:valAx>
      <c:valAx>
        <c:axId val="351094383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Taxa de positividade semestral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54335"/>
        <c:crosses val="max"/>
        <c:crossBetween val="between"/>
      </c:valAx>
      <c:catAx>
        <c:axId val="4352543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35109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chemeClr val="tx1"/>
                </a:solidFill>
              </a:rPr>
              <a:t>Tendência semanal das suspeitas de meningite em Nampula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graficos!$AH$3</c:f>
              <c:strCache>
                <c:ptCount val="1"/>
                <c:pt idx="0">
                  <c:v>Suspeitos 2025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graficos!$AG$4:$AG$30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graficos!$AH$4:$AH$30</c:f>
              <c:numCache>
                <c:formatCode>General</c:formatCode>
                <c:ptCount val="27"/>
                <c:pt idx="0">
                  <c:v>7</c:v>
                </c:pt>
                <c:pt idx="1">
                  <c:v>15</c:v>
                </c:pt>
                <c:pt idx="2">
                  <c:v>7</c:v>
                </c:pt>
                <c:pt idx="3">
                  <c:v>7</c:v>
                </c:pt>
                <c:pt idx="4">
                  <c:v>16</c:v>
                </c:pt>
                <c:pt idx="5">
                  <c:v>11</c:v>
                </c:pt>
                <c:pt idx="6">
                  <c:v>12</c:v>
                </c:pt>
                <c:pt idx="7">
                  <c:v>19</c:v>
                </c:pt>
                <c:pt idx="8">
                  <c:v>12</c:v>
                </c:pt>
                <c:pt idx="9">
                  <c:v>15</c:v>
                </c:pt>
                <c:pt idx="10">
                  <c:v>10</c:v>
                </c:pt>
                <c:pt idx="11">
                  <c:v>9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14</c:v>
                </c:pt>
                <c:pt idx="16">
                  <c:v>10</c:v>
                </c:pt>
                <c:pt idx="17">
                  <c:v>17</c:v>
                </c:pt>
                <c:pt idx="18">
                  <c:v>14</c:v>
                </c:pt>
                <c:pt idx="19">
                  <c:v>16</c:v>
                </c:pt>
                <c:pt idx="20">
                  <c:v>17</c:v>
                </c:pt>
                <c:pt idx="21">
                  <c:v>19</c:v>
                </c:pt>
                <c:pt idx="22">
                  <c:v>16</c:v>
                </c:pt>
                <c:pt idx="23">
                  <c:v>15</c:v>
                </c:pt>
                <c:pt idx="24">
                  <c:v>17</c:v>
                </c:pt>
                <c:pt idx="25">
                  <c:v>11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8-4652-B972-5E4A04C029E6}"/>
            </c:ext>
          </c:extLst>
        </c:ser>
        <c:ser>
          <c:idx val="1"/>
          <c:order val="1"/>
          <c:tx>
            <c:strRef>
              <c:f>graficos!$AI$3</c:f>
              <c:strCache>
                <c:ptCount val="1"/>
                <c:pt idx="0">
                  <c:v>Suspeitos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Scribble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numRef>
              <c:f>graficos!$AG$4:$AG$30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graficos!$AI$4:$AI$30</c:f>
              <c:numCache>
                <c:formatCode>General</c:formatCode>
                <c:ptCount val="27"/>
                <c:pt idx="0">
                  <c:v>0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11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15</c:v>
                </c:pt>
                <c:pt idx="13">
                  <c:v>5</c:v>
                </c:pt>
                <c:pt idx="14">
                  <c:v>11</c:v>
                </c:pt>
                <c:pt idx="15">
                  <c:v>11</c:v>
                </c:pt>
                <c:pt idx="16">
                  <c:v>18</c:v>
                </c:pt>
                <c:pt idx="17">
                  <c:v>12</c:v>
                </c:pt>
                <c:pt idx="18">
                  <c:v>20</c:v>
                </c:pt>
                <c:pt idx="19">
                  <c:v>16</c:v>
                </c:pt>
                <c:pt idx="20">
                  <c:v>6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  <c:pt idx="24">
                  <c:v>12</c:v>
                </c:pt>
                <c:pt idx="25">
                  <c:v>11</c:v>
                </c:pt>
                <c:pt idx="2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8-4652-B972-5E4A04C0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78735"/>
        <c:axId val="1464878191"/>
      </c:lineChart>
      <c:catAx>
        <c:axId val="16767873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Semana epidemiológica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78191"/>
        <c:crosses val="autoZero"/>
        <c:auto val="1"/>
        <c:lblAlgn val="ctr"/>
        <c:lblOffset val="100"/>
        <c:noMultiLvlLbl val="0"/>
      </c:catAx>
      <c:valAx>
        <c:axId val="146487819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Número rastreios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accent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593724</xdr:colOff>
      <xdr:row>12</xdr:row>
      <xdr:rowOff>184150</xdr:rowOff>
    </xdr:from>
    <xdr:to>
      <xdr:col>22</xdr:col>
      <xdr:colOff>438149</xdr:colOff>
      <xdr:row>29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496812-A7E1-40C9-BABE-7043814B8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618586</xdr:colOff>
      <xdr:row>8</xdr:row>
      <xdr:rowOff>172210</xdr:rowOff>
    </xdr:from>
    <xdr:to>
      <xdr:col>64</xdr:col>
      <xdr:colOff>237169</xdr:colOff>
      <xdr:row>25</xdr:row>
      <xdr:rowOff>168315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0BB321-D3E4-2B09-E38A-9E439EA44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254000</xdr:colOff>
      <xdr:row>0</xdr:row>
      <xdr:rowOff>63500</xdr:rowOff>
    </xdr:from>
    <xdr:to>
      <xdr:col>40</xdr:col>
      <xdr:colOff>463550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D78C6-868F-BA5C-439E-7121CDD05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07A0-7E2B-4C12-9E25-1DC090F3A1BF}">
  <dimension ref="E1:BD37"/>
  <sheetViews>
    <sheetView topLeftCell="AT5" zoomScale="83" workbookViewId="0">
      <selection activeCell="AR13" sqref="AR13:AU19"/>
    </sheetView>
  </sheetViews>
  <sheetFormatPr defaultColWidth="8.81640625" defaultRowHeight="14.5" x14ac:dyDescent="0.35"/>
  <cols>
    <col min="1" max="1" width="10.1796875" bestFit="1" customWidth="1"/>
    <col min="8" max="8" width="13.36328125" bestFit="1" customWidth="1"/>
    <col min="9" max="9" width="11.81640625" bestFit="1" customWidth="1"/>
    <col min="10" max="11" width="13.453125" bestFit="1" customWidth="1"/>
    <col min="12" max="12" width="18.36328125" bestFit="1" customWidth="1"/>
    <col min="16" max="16" width="13.36328125" bestFit="1" customWidth="1"/>
    <col min="21" max="21" width="19.36328125" bestFit="1" customWidth="1"/>
    <col min="43" max="43" width="18.6328125" bestFit="1" customWidth="1"/>
    <col min="44" max="44" width="14.453125" customWidth="1"/>
    <col min="45" max="45" width="10.6328125" bestFit="1" customWidth="1"/>
    <col min="46" max="46" width="18.6328125" bestFit="1" customWidth="1"/>
    <col min="47" max="47" width="15.08984375" bestFit="1" customWidth="1"/>
    <col min="49" max="49" width="18.6328125" bestFit="1" customWidth="1"/>
    <col min="50" max="50" width="15.08984375" bestFit="1" customWidth="1"/>
    <col min="52" max="52" width="23.36328125" bestFit="1" customWidth="1"/>
  </cols>
  <sheetData>
    <row r="1" spans="5:56" x14ac:dyDescent="0.35">
      <c r="F1" t="s">
        <v>361</v>
      </c>
      <c r="G1" t="s">
        <v>362</v>
      </c>
      <c r="H1" s="12" t="s">
        <v>107</v>
      </c>
      <c r="I1" s="12" t="s">
        <v>140</v>
      </c>
      <c r="J1" s="12" t="s">
        <v>76</v>
      </c>
      <c r="K1" s="12" t="s">
        <v>43</v>
      </c>
      <c r="L1" s="12" t="s">
        <v>235</v>
      </c>
      <c r="P1" t="s">
        <v>366</v>
      </c>
      <c r="Q1" s="12" t="s">
        <v>107</v>
      </c>
      <c r="R1" s="12" t="s">
        <v>140</v>
      </c>
      <c r="S1" s="12" t="s">
        <v>76</v>
      </c>
      <c r="T1" s="12" t="s">
        <v>43</v>
      </c>
      <c r="U1" s="12" t="s">
        <v>235</v>
      </c>
    </row>
    <row r="2" spans="5:56" x14ac:dyDescent="0.35">
      <c r="E2" t="s">
        <v>345</v>
      </c>
      <c r="F2">
        <v>53</v>
      </c>
      <c r="G2">
        <v>33</v>
      </c>
      <c r="J2">
        <v>1</v>
      </c>
      <c r="K2">
        <v>3</v>
      </c>
      <c r="M2" s="11">
        <f>H2+I2+J2+K2+L2</f>
        <v>4</v>
      </c>
      <c r="O2" t="s">
        <v>345</v>
      </c>
      <c r="P2">
        <v>33</v>
      </c>
      <c r="S2">
        <v>1</v>
      </c>
      <c r="T2">
        <v>3</v>
      </c>
      <c r="V2" s="11">
        <f>Q2+R2+S2+T2</f>
        <v>4</v>
      </c>
    </row>
    <row r="3" spans="5:56" x14ac:dyDescent="0.35">
      <c r="E3" t="s">
        <v>346</v>
      </c>
      <c r="F3">
        <v>50</v>
      </c>
      <c r="G3">
        <v>34</v>
      </c>
      <c r="H3">
        <v>1</v>
      </c>
      <c r="J3">
        <v>3</v>
      </c>
      <c r="K3">
        <v>1</v>
      </c>
      <c r="M3" s="11">
        <f t="shared" ref="M3:M7" si="0">H3+I3+J3+K3+L3</f>
        <v>5</v>
      </c>
      <c r="O3" t="s">
        <v>346</v>
      </c>
      <c r="P3">
        <v>34</v>
      </c>
      <c r="Q3">
        <v>1</v>
      </c>
      <c r="S3">
        <v>3</v>
      </c>
      <c r="T3">
        <v>1</v>
      </c>
      <c r="V3" s="11">
        <f t="shared" ref="V3:V7" si="1">Q3+R3+S3+T3</f>
        <v>5</v>
      </c>
      <c r="AH3" t="s">
        <v>371</v>
      </c>
      <c r="AI3" t="s">
        <v>372</v>
      </c>
      <c r="AT3" s="21" t="s">
        <v>450</v>
      </c>
      <c r="AU3" s="21"/>
      <c r="AV3" s="21"/>
      <c r="AW3" t="s">
        <v>451</v>
      </c>
    </row>
    <row r="4" spans="5:56" x14ac:dyDescent="0.35">
      <c r="E4" t="s">
        <v>347</v>
      </c>
      <c r="F4">
        <v>57</v>
      </c>
      <c r="G4">
        <v>59</v>
      </c>
      <c r="H4">
        <v>1</v>
      </c>
      <c r="I4">
        <v>4</v>
      </c>
      <c r="J4">
        <v>3</v>
      </c>
      <c r="K4">
        <v>2</v>
      </c>
      <c r="M4" s="11">
        <f t="shared" si="0"/>
        <v>10</v>
      </c>
      <c r="O4" t="s">
        <v>347</v>
      </c>
      <c r="P4">
        <v>59</v>
      </c>
      <c r="Q4">
        <v>1</v>
      </c>
      <c r="R4">
        <v>4</v>
      </c>
      <c r="S4">
        <v>3</v>
      </c>
      <c r="T4">
        <v>2</v>
      </c>
      <c r="V4" s="11">
        <f t="shared" si="1"/>
        <v>10</v>
      </c>
      <c r="AG4">
        <v>1</v>
      </c>
      <c r="AH4">
        <v>7</v>
      </c>
      <c r="AI4">
        <v>0</v>
      </c>
      <c r="AR4" t="s">
        <v>442</v>
      </c>
      <c r="AS4" t="s">
        <v>443</v>
      </c>
      <c r="AT4" t="s">
        <v>442</v>
      </c>
      <c r="AV4" t="s">
        <v>443</v>
      </c>
      <c r="AW4" t="s">
        <v>442</v>
      </c>
      <c r="AX4" t="s">
        <v>443</v>
      </c>
      <c r="BA4" t="s">
        <v>442</v>
      </c>
      <c r="BB4" t="s">
        <v>443</v>
      </c>
      <c r="BC4" t="s">
        <v>442</v>
      </c>
      <c r="BD4" t="s">
        <v>443</v>
      </c>
    </row>
    <row r="5" spans="5:56" x14ac:dyDescent="0.35">
      <c r="E5" t="s">
        <v>363</v>
      </c>
      <c r="F5">
        <v>62</v>
      </c>
      <c r="G5">
        <v>55</v>
      </c>
      <c r="H5">
        <v>3</v>
      </c>
      <c r="I5">
        <v>1</v>
      </c>
      <c r="L5">
        <v>1</v>
      </c>
      <c r="M5" s="11">
        <f t="shared" si="0"/>
        <v>5</v>
      </c>
      <c r="O5" t="s">
        <v>363</v>
      </c>
      <c r="P5">
        <v>55</v>
      </c>
      <c r="Q5">
        <v>3</v>
      </c>
      <c r="R5">
        <v>1</v>
      </c>
      <c r="U5">
        <v>1</v>
      </c>
      <c r="V5" s="11">
        <f t="shared" si="1"/>
        <v>4</v>
      </c>
      <c r="AG5">
        <v>2</v>
      </c>
      <c r="AH5">
        <v>15</v>
      </c>
      <c r="AI5">
        <v>9</v>
      </c>
      <c r="AQ5" t="s">
        <v>140</v>
      </c>
      <c r="AR5">
        <v>9</v>
      </c>
      <c r="AS5">
        <v>1</v>
      </c>
      <c r="AT5" s="14">
        <v>4.1474654377880196</v>
      </c>
      <c r="AU5" s="14"/>
      <c r="AV5" s="14">
        <v>2.4390243902439002</v>
      </c>
      <c r="AW5" s="14">
        <v>1.25</v>
      </c>
      <c r="AX5" s="14">
        <v>2.3255813953488373</v>
      </c>
      <c r="AY5" s="15">
        <f>SUM(AR5:AS5)</f>
        <v>10</v>
      </c>
      <c r="AZ5" t="s">
        <v>445</v>
      </c>
      <c r="BA5">
        <v>0</v>
      </c>
      <c r="BB5">
        <v>1</v>
      </c>
      <c r="BC5" s="14">
        <v>0</v>
      </c>
      <c r="BD5" s="14">
        <v>1.1627906976744187</v>
      </c>
    </row>
    <row r="6" spans="5:56" x14ac:dyDescent="0.35">
      <c r="E6" t="s">
        <v>364</v>
      </c>
      <c r="F6">
        <v>67</v>
      </c>
      <c r="G6">
        <v>50</v>
      </c>
      <c r="I6">
        <v>2</v>
      </c>
      <c r="J6">
        <v>1</v>
      </c>
      <c r="M6" s="11">
        <f t="shared" si="0"/>
        <v>3</v>
      </c>
      <c r="O6" t="s">
        <v>364</v>
      </c>
      <c r="P6">
        <v>50</v>
      </c>
      <c r="R6">
        <v>2</v>
      </c>
      <c r="S6">
        <v>1</v>
      </c>
      <c r="V6" s="11">
        <f t="shared" si="1"/>
        <v>3</v>
      </c>
      <c r="X6" t="s">
        <v>368</v>
      </c>
      <c r="AG6">
        <v>3</v>
      </c>
      <c r="AH6">
        <v>7</v>
      </c>
      <c r="AI6">
        <v>8</v>
      </c>
      <c r="AQ6" t="s">
        <v>76</v>
      </c>
      <c r="AR6">
        <v>7</v>
      </c>
      <c r="AS6">
        <v>1</v>
      </c>
      <c r="AT6" s="14">
        <v>3.225806451612903</v>
      </c>
      <c r="AU6" s="14"/>
      <c r="AV6" s="14">
        <v>2.4390243902439024</v>
      </c>
      <c r="AW6" s="14">
        <v>3.75</v>
      </c>
      <c r="AX6" s="14">
        <v>3.4883720930232558</v>
      </c>
      <c r="AY6" s="15">
        <f t="shared" ref="AY6:AY9" si="2">SUM(AR6:AS6)</f>
        <v>8</v>
      </c>
      <c r="AZ6" t="s">
        <v>107</v>
      </c>
      <c r="BA6">
        <v>1</v>
      </c>
      <c r="BB6">
        <v>0</v>
      </c>
      <c r="BC6" s="14">
        <v>0.41666666666666669</v>
      </c>
      <c r="BD6" s="14">
        <v>0</v>
      </c>
    </row>
    <row r="7" spans="5:56" x14ac:dyDescent="0.35">
      <c r="E7" t="s">
        <v>365</v>
      </c>
      <c r="F7">
        <v>60</v>
      </c>
      <c r="G7">
        <v>45</v>
      </c>
      <c r="M7" s="11">
        <f t="shared" si="0"/>
        <v>0</v>
      </c>
      <c r="O7" t="s">
        <v>350</v>
      </c>
      <c r="P7">
        <v>45</v>
      </c>
      <c r="R7">
        <v>3</v>
      </c>
      <c r="T7">
        <v>1</v>
      </c>
      <c r="V7" s="11">
        <f t="shared" si="1"/>
        <v>4</v>
      </c>
      <c r="W7" s="12" t="s">
        <v>140</v>
      </c>
      <c r="X7" s="14">
        <v>3.6231884057971016</v>
      </c>
      <c r="Y7" s="14">
        <f>X7/P9*100</f>
        <v>1.3127494223902543</v>
      </c>
      <c r="AA7">
        <v>10</v>
      </c>
      <c r="AG7">
        <v>4</v>
      </c>
      <c r="AH7">
        <v>7</v>
      </c>
      <c r="AI7">
        <v>5</v>
      </c>
      <c r="AQ7" t="s">
        <v>43</v>
      </c>
      <c r="AR7">
        <v>6</v>
      </c>
      <c r="AS7">
        <v>1</v>
      </c>
      <c r="AT7" s="14">
        <v>2.7649769585253456</v>
      </c>
      <c r="AU7" s="14"/>
      <c r="AV7" s="14">
        <v>2.4390243902439024</v>
      </c>
      <c r="AW7" s="14">
        <v>0.83333333333333337</v>
      </c>
      <c r="AX7" s="14">
        <v>1.1627906976744187</v>
      </c>
      <c r="AY7" s="15">
        <f t="shared" si="2"/>
        <v>7</v>
      </c>
      <c r="AZ7" t="s">
        <v>446</v>
      </c>
      <c r="BA7">
        <v>3</v>
      </c>
      <c r="BB7">
        <v>2</v>
      </c>
      <c r="BC7" s="14">
        <v>1.25</v>
      </c>
      <c r="BD7" s="14">
        <v>2.3255813953488373</v>
      </c>
    </row>
    <row r="8" spans="5:56" x14ac:dyDescent="0.35">
      <c r="F8">
        <f>SUM(F2:F7)</f>
        <v>349</v>
      </c>
      <c r="G8">
        <f>SUM(G2:G7)</f>
        <v>276</v>
      </c>
      <c r="M8" s="11"/>
      <c r="O8" t="s">
        <v>367</v>
      </c>
      <c r="Q8">
        <v>5</v>
      </c>
      <c r="R8">
        <v>7</v>
      </c>
      <c r="S8">
        <v>8</v>
      </c>
      <c r="T8">
        <v>6</v>
      </c>
      <c r="U8">
        <v>1</v>
      </c>
      <c r="V8" s="11"/>
      <c r="W8" s="12" t="s">
        <v>76</v>
      </c>
      <c r="X8" s="14">
        <v>2.8985507246376812</v>
      </c>
      <c r="Y8" s="14">
        <f>X8/P9*100</f>
        <v>1.0501995379122033</v>
      </c>
      <c r="AA8">
        <v>8</v>
      </c>
      <c r="AG8">
        <v>5</v>
      </c>
      <c r="AH8">
        <v>16</v>
      </c>
      <c r="AI8">
        <v>11</v>
      </c>
      <c r="AQ8" t="s">
        <v>107</v>
      </c>
      <c r="AR8">
        <v>5</v>
      </c>
      <c r="AS8">
        <v>0</v>
      </c>
      <c r="AT8" s="14">
        <v>2.3041474654377883</v>
      </c>
      <c r="AU8" s="14"/>
      <c r="AV8" s="14">
        <v>0</v>
      </c>
      <c r="AW8" s="14">
        <v>0.41666666666666669</v>
      </c>
      <c r="AX8" s="14">
        <v>0</v>
      </c>
      <c r="AY8" s="15">
        <f t="shared" si="2"/>
        <v>5</v>
      </c>
      <c r="AZ8" t="s">
        <v>447</v>
      </c>
      <c r="BA8">
        <v>9</v>
      </c>
      <c r="BB8">
        <v>3</v>
      </c>
      <c r="BC8" s="14">
        <v>3.75</v>
      </c>
      <c r="BD8" s="14">
        <v>3.4883720930232558</v>
      </c>
    </row>
    <row r="9" spans="5:56" x14ac:dyDescent="0.35">
      <c r="M9" s="12"/>
      <c r="N9" s="12"/>
      <c r="O9" s="12"/>
      <c r="P9" s="12">
        <f>SUM(P2:P8)</f>
        <v>276</v>
      </c>
      <c r="Q9" s="12"/>
      <c r="R9" s="12"/>
      <c r="S9" s="12"/>
      <c r="T9" s="12"/>
      <c r="W9" s="12" t="s">
        <v>43</v>
      </c>
      <c r="X9" s="14">
        <v>2.5362318840579712</v>
      </c>
      <c r="Y9" s="14">
        <f>X9/P9*100</f>
        <v>0.91892459567317797</v>
      </c>
      <c r="AA9">
        <v>7</v>
      </c>
      <c r="AG9">
        <v>6</v>
      </c>
      <c r="AH9">
        <v>11</v>
      </c>
      <c r="AI9">
        <v>2</v>
      </c>
      <c r="AQ9" t="s">
        <v>235</v>
      </c>
      <c r="AR9">
        <v>1</v>
      </c>
      <c r="AS9">
        <v>0</v>
      </c>
      <c r="AT9" s="14">
        <v>0.46082949308755761</v>
      </c>
      <c r="AU9" s="14"/>
      <c r="AV9" s="14">
        <v>0</v>
      </c>
      <c r="AW9" s="14">
        <v>0</v>
      </c>
      <c r="AX9" s="14">
        <v>0</v>
      </c>
      <c r="AY9" s="15">
        <f t="shared" si="2"/>
        <v>1</v>
      </c>
      <c r="AZ9" t="s">
        <v>448</v>
      </c>
      <c r="BA9">
        <v>1</v>
      </c>
      <c r="BB9">
        <v>0</v>
      </c>
      <c r="BC9" s="14">
        <v>0.41666666666666669</v>
      </c>
      <c r="BD9" s="14">
        <v>0</v>
      </c>
    </row>
    <row r="10" spans="5:56" x14ac:dyDescent="0.35">
      <c r="M10" s="11"/>
      <c r="W10" s="12" t="s">
        <v>107</v>
      </c>
      <c r="X10" s="14">
        <v>1.8115942028985508</v>
      </c>
      <c r="Y10" s="14">
        <f>X10/P9*100</f>
        <v>0.65637471119512714</v>
      </c>
      <c r="AA10">
        <v>5</v>
      </c>
      <c r="AG10">
        <v>7</v>
      </c>
      <c r="AH10">
        <v>12</v>
      </c>
      <c r="AI10">
        <v>9</v>
      </c>
      <c r="AQ10" s="17" t="s">
        <v>448</v>
      </c>
      <c r="AT10" s="14">
        <v>0</v>
      </c>
      <c r="AU10" s="14"/>
      <c r="AV10" s="14">
        <v>0</v>
      </c>
      <c r="AW10" s="14">
        <v>0.41666666666666669</v>
      </c>
      <c r="AX10" s="14">
        <v>0</v>
      </c>
      <c r="AY10" s="14"/>
      <c r="BC10" s="14"/>
      <c r="BD10" s="14"/>
    </row>
    <row r="11" spans="5:56" x14ac:dyDescent="0.35">
      <c r="M11" s="11"/>
      <c r="W11" s="12" t="s">
        <v>235</v>
      </c>
      <c r="X11" s="14">
        <v>0.36231884057971014</v>
      </c>
      <c r="Y11" s="14">
        <f>X11/P9*100</f>
        <v>0.13127494223902542</v>
      </c>
      <c r="AA11">
        <v>1</v>
      </c>
      <c r="AG11">
        <v>8</v>
      </c>
      <c r="AH11">
        <v>19</v>
      </c>
      <c r="AI11">
        <v>10</v>
      </c>
      <c r="AQ11" s="17"/>
      <c r="BC11" s="14"/>
      <c r="BD11" s="14"/>
    </row>
    <row r="12" spans="5:56" x14ac:dyDescent="0.35">
      <c r="F12" t="s">
        <v>361</v>
      </c>
      <c r="G12" t="s">
        <v>368</v>
      </c>
      <c r="H12" t="s">
        <v>362</v>
      </c>
      <c r="I12" t="s">
        <v>368</v>
      </c>
      <c r="M12" s="11"/>
      <c r="AG12">
        <v>9</v>
      </c>
      <c r="AH12">
        <v>12</v>
      </c>
      <c r="AI12">
        <v>13</v>
      </c>
      <c r="AQ12" s="17"/>
      <c r="AZ12" t="s">
        <v>449</v>
      </c>
      <c r="BA12">
        <v>2</v>
      </c>
      <c r="BB12">
        <v>1</v>
      </c>
      <c r="BC12" s="14">
        <v>0.83333333333333337</v>
      </c>
      <c r="BD12" s="14">
        <v>1.1627906976744187</v>
      </c>
    </row>
    <row r="13" spans="5:56" x14ac:dyDescent="0.35">
      <c r="E13" t="s">
        <v>345</v>
      </c>
      <c r="F13">
        <v>53</v>
      </c>
      <c r="G13">
        <v>4</v>
      </c>
      <c r="H13">
        <v>33</v>
      </c>
      <c r="I13" s="11">
        <v>4</v>
      </c>
      <c r="M13" s="11"/>
      <c r="AG13">
        <v>10</v>
      </c>
      <c r="AH13">
        <v>15</v>
      </c>
      <c r="AI13">
        <v>15</v>
      </c>
      <c r="AQ13" s="17"/>
      <c r="AR13" s="8"/>
      <c r="AS13" s="8" t="s">
        <v>457</v>
      </c>
      <c r="AT13" s="8" t="s">
        <v>453</v>
      </c>
      <c r="AU13" s="8" t="s">
        <v>452</v>
      </c>
      <c r="AV13" s="8" t="s">
        <v>456</v>
      </c>
      <c r="AW13" s="8" t="s">
        <v>454</v>
      </c>
      <c r="AX13" s="8" t="s">
        <v>455</v>
      </c>
    </row>
    <row r="14" spans="5:56" x14ac:dyDescent="0.35">
      <c r="E14" t="s">
        <v>346</v>
      </c>
      <c r="F14">
        <v>50</v>
      </c>
      <c r="G14">
        <v>5</v>
      </c>
      <c r="H14">
        <v>34</v>
      </c>
      <c r="I14" s="11">
        <v>5</v>
      </c>
      <c r="M14" s="11"/>
      <c r="Z14" s="14">
        <v>3.6231884057971016</v>
      </c>
      <c r="AG14">
        <v>11</v>
      </c>
      <c r="AH14">
        <v>10</v>
      </c>
      <c r="AI14">
        <v>16</v>
      </c>
      <c r="AR14" s="8" t="s">
        <v>345</v>
      </c>
      <c r="AS14" s="20">
        <v>12.121212121212121</v>
      </c>
      <c r="AT14" s="8">
        <v>33</v>
      </c>
      <c r="AU14" s="18">
        <v>4</v>
      </c>
      <c r="AV14" s="19">
        <v>7.5471698113207504</v>
      </c>
      <c r="AW14" s="8">
        <v>53</v>
      </c>
      <c r="AX14" s="8">
        <v>4</v>
      </c>
    </row>
    <row r="15" spans="5:56" x14ac:dyDescent="0.35">
      <c r="E15" t="s">
        <v>347</v>
      </c>
      <c r="F15">
        <v>57</v>
      </c>
      <c r="G15">
        <v>10</v>
      </c>
      <c r="H15">
        <v>59</v>
      </c>
      <c r="I15" s="11">
        <v>10</v>
      </c>
      <c r="Z15" s="14">
        <v>2.8985507246376812</v>
      </c>
      <c r="AG15">
        <v>12</v>
      </c>
      <c r="AH15">
        <v>9</v>
      </c>
      <c r="AI15">
        <v>11</v>
      </c>
      <c r="AR15" s="8" t="s">
        <v>346</v>
      </c>
      <c r="AS15" s="20">
        <v>14.705882352941178</v>
      </c>
      <c r="AT15" s="8">
        <v>34</v>
      </c>
      <c r="AU15" s="18">
        <v>5</v>
      </c>
      <c r="AV15" s="19">
        <v>10</v>
      </c>
      <c r="AW15" s="8">
        <v>50</v>
      </c>
      <c r="AX15" s="8">
        <v>5</v>
      </c>
    </row>
    <row r="16" spans="5:56" x14ac:dyDescent="0.35">
      <c r="E16" t="s">
        <v>363</v>
      </c>
      <c r="F16">
        <v>62</v>
      </c>
      <c r="G16">
        <v>5</v>
      </c>
      <c r="H16">
        <v>55</v>
      </c>
      <c r="I16" s="11">
        <v>4</v>
      </c>
      <c r="Z16" s="14">
        <v>2.5362318840579712</v>
      </c>
      <c r="AG16">
        <v>13</v>
      </c>
      <c r="AH16">
        <v>15</v>
      </c>
      <c r="AI16">
        <v>15</v>
      </c>
      <c r="AR16" s="8" t="s">
        <v>347</v>
      </c>
      <c r="AS16" s="20">
        <v>16.949152542372879</v>
      </c>
      <c r="AT16" s="8">
        <v>59</v>
      </c>
      <c r="AU16" s="18">
        <v>10</v>
      </c>
      <c r="AV16" s="19">
        <v>17.543859649122805</v>
      </c>
      <c r="AW16" s="8">
        <v>57</v>
      </c>
      <c r="AX16" s="8">
        <v>10</v>
      </c>
    </row>
    <row r="17" spans="5:50" x14ac:dyDescent="0.35">
      <c r="E17" t="s">
        <v>364</v>
      </c>
      <c r="F17">
        <v>67</v>
      </c>
      <c r="G17">
        <v>3</v>
      </c>
      <c r="H17">
        <v>50</v>
      </c>
      <c r="I17" s="11">
        <v>3</v>
      </c>
      <c r="Z17" s="14">
        <v>1.8115942028985508</v>
      </c>
      <c r="AG17">
        <v>14</v>
      </c>
      <c r="AH17">
        <v>15</v>
      </c>
      <c r="AI17">
        <v>5</v>
      </c>
      <c r="AR17" s="8" t="s">
        <v>363</v>
      </c>
      <c r="AS17" s="20">
        <v>7.2727272727272725</v>
      </c>
      <c r="AT17" s="8">
        <v>55</v>
      </c>
      <c r="AU17" s="18">
        <v>4</v>
      </c>
      <c r="AV17" s="19">
        <v>8.064516129032258</v>
      </c>
      <c r="AW17" s="8">
        <v>62</v>
      </c>
      <c r="AX17" s="8">
        <v>5</v>
      </c>
    </row>
    <row r="18" spans="5:50" x14ac:dyDescent="0.35">
      <c r="E18" t="s">
        <v>365</v>
      </c>
      <c r="F18">
        <v>60</v>
      </c>
      <c r="G18">
        <v>6</v>
      </c>
      <c r="H18">
        <v>45</v>
      </c>
      <c r="I18" s="11">
        <v>4</v>
      </c>
      <c r="Z18" s="14">
        <v>0.36231884057971014</v>
      </c>
      <c r="AG18">
        <v>15</v>
      </c>
      <c r="AH18">
        <v>12</v>
      </c>
      <c r="AI18">
        <v>11</v>
      </c>
      <c r="AR18" s="8" t="s">
        <v>364</v>
      </c>
      <c r="AS18" s="20">
        <v>6</v>
      </c>
      <c r="AT18" s="8">
        <v>50</v>
      </c>
      <c r="AU18" s="18">
        <v>3</v>
      </c>
      <c r="AV18" s="19">
        <v>4.4776119402985071</v>
      </c>
      <c r="AW18" s="8">
        <v>67</v>
      </c>
      <c r="AX18" s="8">
        <v>3</v>
      </c>
    </row>
    <row r="19" spans="5:50" x14ac:dyDescent="0.35">
      <c r="AG19">
        <v>16</v>
      </c>
      <c r="AH19">
        <v>14</v>
      </c>
      <c r="AI19">
        <v>11</v>
      </c>
      <c r="AR19" s="8" t="s">
        <v>365</v>
      </c>
      <c r="AS19" s="20">
        <v>8.8888888888888893</v>
      </c>
      <c r="AT19" s="8">
        <v>45</v>
      </c>
      <c r="AU19" s="18">
        <v>4</v>
      </c>
      <c r="AV19" s="19">
        <v>10</v>
      </c>
      <c r="AW19" s="8">
        <v>60</v>
      </c>
      <c r="AX19" s="8">
        <v>6</v>
      </c>
    </row>
    <row r="20" spans="5:50" x14ac:dyDescent="0.35">
      <c r="AG20">
        <v>17</v>
      </c>
      <c r="AH20">
        <v>10</v>
      </c>
      <c r="AI20">
        <v>18</v>
      </c>
    </row>
    <row r="21" spans="5:50" x14ac:dyDescent="0.35">
      <c r="AG21">
        <v>18</v>
      </c>
      <c r="AH21">
        <v>17</v>
      </c>
      <c r="AI21">
        <v>12</v>
      </c>
      <c r="AQ21" t="s">
        <v>358</v>
      </c>
      <c r="AR21" t="s">
        <v>360</v>
      </c>
      <c r="AU21">
        <f>AU14/AT14</f>
        <v>0.12121212121212122</v>
      </c>
    </row>
    <row r="22" spans="5:50" x14ac:dyDescent="0.35">
      <c r="AG22">
        <v>19</v>
      </c>
      <c r="AH22">
        <v>14</v>
      </c>
      <c r="AI22">
        <v>20</v>
      </c>
      <c r="AQ22" t="s">
        <v>442</v>
      </c>
      <c r="AR22">
        <v>217</v>
      </c>
    </row>
    <row r="23" spans="5:50" x14ac:dyDescent="0.35">
      <c r="AG23">
        <v>20</v>
      </c>
      <c r="AH23">
        <v>16</v>
      </c>
      <c r="AI23">
        <v>16</v>
      </c>
      <c r="AQ23" t="s">
        <v>443</v>
      </c>
      <c r="AR23">
        <v>41</v>
      </c>
    </row>
    <row r="24" spans="5:50" x14ac:dyDescent="0.35">
      <c r="AG24">
        <v>21</v>
      </c>
      <c r="AH24">
        <v>17</v>
      </c>
      <c r="AI24">
        <v>6</v>
      </c>
      <c r="AQ24" t="s">
        <v>370</v>
      </c>
      <c r="AR24">
        <v>18</v>
      </c>
    </row>
    <row r="25" spans="5:50" x14ac:dyDescent="0.35">
      <c r="AG25">
        <v>22</v>
      </c>
      <c r="AH25">
        <v>19</v>
      </c>
      <c r="AI25">
        <v>8</v>
      </c>
      <c r="AQ25" t="s">
        <v>359</v>
      </c>
      <c r="AR25">
        <v>276</v>
      </c>
    </row>
    <row r="26" spans="5:50" x14ac:dyDescent="0.35">
      <c r="AG26">
        <v>23</v>
      </c>
      <c r="AH26">
        <v>16</v>
      </c>
      <c r="AI26">
        <v>9</v>
      </c>
    </row>
    <row r="27" spans="5:50" x14ac:dyDescent="0.35">
      <c r="AG27">
        <v>24</v>
      </c>
      <c r="AH27">
        <v>15</v>
      </c>
      <c r="AI27">
        <v>8</v>
      </c>
    </row>
    <row r="28" spans="5:50" x14ac:dyDescent="0.35">
      <c r="AG28">
        <v>25</v>
      </c>
      <c r="AH28">
        <v>17</v>
      </c>
      <c r="AI28">
        <v>12</v>
      </c>
    </row>
    <row r="29" spans="5:50" x14ac:dyDescent="0.35">
      <c r="AG29">
        <v>26</v>
      </c>
      <c r="AH29">
        <v>11</v>
      </c>
      <c r="AI29">
        <v>11</v>
      </c>
    </row>
    <row r="30" spans="5:50" x14ac:dyDescent="0.35">
      <c r="AG30">
        <v>27</v>
      </c>
      <c r="AH30">
        <v>1</v>
      </c>
      <c r="AI30">
        <v>5</v>
      </c>
    </row>
    <row r="31" spans="5:50" x14ac:dyDescent="0.35">
      <c r="AH31">
        <f>SUM(AH4:AH30)</f>
        <v>349</v>
      </c>
      <c r="AI31">
        <f>SUM(AI4:AI30)</f>
        <v>276</v>
      </c>
      <c r="AR31" s="8"/>
      <c r="AS31" s="8" t="s">
        <v>452</v>
      </c>
      <c r="AT31" s="8" t="s">
        <v>453</v>
      </c>
      <c r="AU31" s="8" t="s">
        <v>456</v>
      </c>
      <c r="AV31" s="8" t="s">
        <v>455</v>
      </c>
      <c r="AW31" s="8" t="s">
        <v>454</v>
      </c>
      <c r="AX31" s="8" t="s">
        <v>456</v>
      </c>
    </row>
    <row r="32" spans="5:50" x14ac:dyDescent="0.35">
      <c r="AR32" s="8" t="s">
        <v>345</v>
      </c>
      <c r="AS32" s="18">
        <v>4</v>
      </c>
      <c r="AT32" s="8">
        <v>33</v>
      </c>
      <c r="AU32" s="19">
        <f>AS32/AT32*100</f>
        <v>12.121212121212121</v>
      </c>
      <c r="AV32" s="8">
        <v>4</v>
      </c>
      <c r="AW32" s="8">
        <v>53</v>
      </c>
      <c r="AX32" s="19">
        <f>AV32/AW32*100</f>
        <v>7.5471698113207548</v>
      </c>
    </row>
    <row r="33" spans="44:50" x14ac:dyDescent="0.35">
      <c r="AR33" s="8" t="s">
        <v>346</v>
      </c>
      <c r="AS33" s="18">
        <v>5</v>
      </c>
      <c r="AT33" s="8">
        <v>34</v>
      </c>
      <c r="AU33" s="19">
        <f>AS33/AT33*100</f>
        <v>14.705882352941178</v>
      </c>
      <c r="AV33" s="8">
        <v>5</v>
      </c>
      <c r="AW33" s="8">
        <v>50</v>
      </c>
      <c r="AX33" s="19">
        <f t="shared" ref="AX33:AX36" si="3">AV33/AW33*100</f>
        <v>10</v>
      </c>
    </row>
    <row r="34" spans="44:50" x14ac:dyDescent="0.35">
      <c r="AR34" s="8" t="s">
        <v>347</v>
      </c>
      <c r="AS34" s="18">
        <v>10</v>
      </c>
      <c r="AT34" s="8">
        <v>59</v>
      </c>
      <c r="AU34" s="19">
        <f>AS34/AT34*100</f>
        <v>16.949152542372879</v>
      </c>
      <c r="AV34" s="8">
        <v>10</v>
      </c>
      <c r="AW34" s="8">
        <v>57</v>
      </c>
      <c r="AX34" s="19">
        <f t="shared" si="3"/>
        <v>17.543859649122805</v>
      </c>
    </row>
    <row r="35" spans="44:50" x14ac:dyDescent="0.35">
      <c r="AR35" s="8" t="s">
        <v>363</v>
      </c>
      <c r="AS35" s="18">
        <v>4</v>
      </c>
      <c r="AT35" s="8">
        <v>55</v>
      </c>
      <c r="AU35" s="19">
        <f t="shared" ref="AU35:AU37" si="4">AS35/AT35*100</f>
        <v>7.2727272727272725</v>
      </c>
      <c r="AV35" s="8">
        <v>5</v>
      </c>
      <c r="AW35" s="8">
        <v>62</v>
      </c>
      <c r="AX35" s="19">
        <f t="shared" si="3"/>
        <v>8.064516129032258</v>
      </c>
    </row>
    <row r="36" spans="44:50" x14ac:dyDescent="0.35">
      <c r="AR36" s="8" t="s">
        <v>364</v>
      </c>
      <c r="AS36" s="18">
        <v>3</v>
      </c>
      <c r="AT36" s="8">
        <v>50</v>
      </c>
      <c r="AU36" s="19">
        <f t="shared" si="4"/>
        <v>6</v>
      </c>
      <c r="AV36" s="8">
        <v>3</v>
      </c>
      <c r="AW36" s="8">
        <v>67</v>
      </c>
      <c r="AX36" s="19">
        <f t="shared" si="3"/>
        <v>4.4776119402985071</v>
      </c>
    </row>
    <row r="37" spans="44:50" x14ac:dyDescent="0.35">
      <c r="AR37" s="8" t="s">
        <v>365</v>
      </c>
      <c r="AS37" s="18">
        <v>4</v>
      </c>
      <c r="AT37" s="8">
        <v>45</v>
      </c>
      <c r="AU37" s="19">
        <f t="shared" si="4"/>
        <v>8.8888888888888893</v>
      </c>
      <c r="AV37" s="8">
        <v>6</v>
      </c>
      <c r="AW37" s="8">
        <v>60</v>
      </c>
      <c r="AX37" s="19">
        <f>AV37/AW37*100</f>
        <v>10</v>
      </c>
    </row>
  </sheetData>
  <sortState xmlns:xlrd2="http://schemas.microsoft.com/office/spreadsheetml/2017/richdata2" ref="W7:X11">
    <sortCondition descending="1" ref="X7:X11"/>
  </sortState>
  <mergeCells count="1">
    <mergeCell ref="AT3:AV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0B48-7B10-4989-B13C-309C3A26AA09}">
  <dimension ref="A1:M277"/>
  <sheetViews>
    <sheetView topLeftCell="B264" workbookViewId="0">
      <selection activeCell="H144" sqref="H144"/>
    </sheetView>
  </sheetViews>
  <sheetFormatPr defaultColWidth="8.81640625" defaultRowHeight="14.5" x14ac:dyDescent="0.35"/>
  <cols>
    <col min="1" max="1" width="15.81640625" customWidth="1"/>
    <col min="2" max="2" width="13.81640625" customWidth="1"/>
    <col min="3" max="3" width="15.81640625" customWidth="1"/>
    <col min="4" max="4" width="13.81640625" bestFit="1" customWidth="1"/>
    <col min="5" max="5" width="6.36328125" bestFit="1" customWidth="1"/>
    <col min="6" max="6" width="12.453125" bestFit="1" customWidth="1"/>
    <col min="8" max="8" width="22.81640625" bestFit="1" customWidth="1"/>
    <col min="12" max="12" width="26.6328125" bestFit="1" customWidth="1"/>
    <col min="13" max="13" width="15.453125" customWidth="1"/>
  </cols>
  <sheetData>
    <row r="1" spans="1:13" ht="15.5" x14ac:dyDescent="0.35">
      <c r="A1" s="1" t="s">
        <v>0</v>
      </c>
      <c r="B1" s="1" t="s">
        <v>351</v>
      </c>
      <c r="C1" s="1" t="s">
        <v>369</v>
      </c>
      <c r="D1" s="1" t="s">
        <v>1</v>
      </c>
      <c r="E1" s="1" t="s">
        <v>2</v>
      </c>
      <c r="F1" s="1" t="s">
        <v>357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444</v>
      </c>
      <c r="L1" s="3" t="s">
        <v>7</v>
      </c>
      <c r="M1" s="3" t="s">
        <v>8</v>
      </c>
    </row>
    <row r="2" spans="1:13" ht="15.5" x14ac:dyDescent="0.35">
      <c r="A2" s="13">
        <v>46028</v>
      </c>
      <c r="B2" s="4">
        <v>2026</v>
      </c>
      <c r="C2" s="15">
        <v>2</v>
      </c>
      <c r="D2" s="4" t="s">
        <v>9</v>
      </c>
      <c r="E2" s="4" t="s">
        <v>345</v>
      </c>
      <c r="F2" s="4" t="s">
        <v>352</v>
      </c>
      <c r="G2" s="4">
        <v>42</v>
      </c>
      <c r="H2" s="4" t="s">
        <v>10</v>
      </c>
      <c r="I2" s="4" t="s">
        <v>11</v>
      </c>
      <c r="J2" s="4" t="s">
        <v>12</v>
      </c>
      <c r="K2" s="4" t="s">
        <v>442</v>
      </c>
      <c r="L2" s="4" t="s">
        <v>13</v>
      </c>
      <c r="M2" s="4" t="s">
        <v>14</v>
      </c>
    </row>
    <row r="3" spans="1:13" ht="15.5" x14ac:dyDescent="0.35">
      <c r="A3" s="13">
        <v>46028</v>
      </c>
      <c r="B3" s="4">
        <v>2026</v>
      </c>
      <c r="C3" s="15">
        <v>2</v>
      </c>
      <c r="D3" s="4" t="s">
        <v>15</v>
      </c>
      <c r="E3" s="4" t="s">
        <v>345</v>
      </c>
      <c r="F3" s="4" t="s">
        <v>352</v>
      </c>
      <c r="G3" s="4"/>
      <c r="H3" s="4" t="s">
        <v>10</v>
      </c>
      <c r="I3" s="4" t="s">
        <v>11</v>
      </c>
      <c r="J3" s="4" t="s">
        <v>16</v>
      </c>
      <c r="K3" s="4" t="s">
        <v>442</v>
      </c>
      <c r="L3" s="4" t="s">
        <v>13</v>
      </c>
      <c r="M3" s="4" t="s">
        <v>14</v>
      </c>
    </row>
    <row r="4" spans="1:13" ht="15.5" x14ac:dyDescent="0.35">
      <c r="A4" s="13">
        <v>46028</v>
      </c>
      <c r="B4" s="4">
        <v>2026</v>
      </c>
      <c r="C4" s="15">
        <v>2</v>
      </c>
      <c r="D4" s="4" t="s">
        <v>17</v>
      </c>
      <c r="E4" s="4" t="s">
        <v>345</v>
      </c>
      <c r="F4" s="4" t="s">
        <v>352</v>
      </c>
      <c r="G4" s="4"/>
      <c r="H4" s="4" t="s">
        <v>18</v>
      </c>
      <c r="I4" s="4" t="s">
        <v>11</v>
      </c>
      <c r="J4" s="4" t="s">
        <v>19</v>
      </c>
      <c r="K4" s="4" t="s">
        <v>442</v>
      </c>
      <c r="L4" s="4" t="s">
        <v>13</v>
      </c>
      <c r="M4" s="4" t="s">
        <v>14</v>
      </c>
    </row>
    <row r="5" spans="1:13" ht="15.5" x14ac:dyDescent="0.35">
      <c r="A5" s="13">
        <v>46028</v>
      </c>
      <c r="B5" s="4">
        <v>2026</v>
      </c>
      <c r="C5" s="15">
        <v>2</v>
      </c>
      <c r="D5" s="4" t="s">
        <v>20</v>
      </c>
      <c r="E5" s="4" t="s">
        <v>345</v>
      </c>
      <c r="F5" s="4" t="s">
        <v>352</v>
      </c>
      <c r="G5" s="4"/>
      <c r="H5" s="4" t="s">
        <v>21</v>
      </c>
      <c r="I5" s="4" t="s">
        <v>11</v>
      </c>
      <c r="J5" s="4" t="s">
        <v>22</v>
      </c>
      <c r="K5" s="4" t="s">
        <v>442</v>
      </c>
      <c r="L5" s="4" t="s">
        <v>13</v>
      </c>
      <c r="M5" s="4" t="s">
        <v>14</v>
      </c>
    </row>
    <row r="6" spans="1:13" ht="15.5" x14ac:dyDescent="0.35">
      <c r="A6" s="13">
        <v>46031</v>
      </c>
      <c r="B6" s="4">
        <v>2026</v>
      </c>
      <c r="C6" s="15">
        <v>2</v>
      </c>
      <c r="D6" s="4" t="s">
        <v>23</v>
      </c>
      <c r="E6" s="4" t="s">
        <v>345</v>
      </c>
      <c r="F6" s="4" t="s">
        <v>352</v>
      </c>
      <c r="G6" s="4"/>
      <c r="H6" s="4" t="s">
        <v>24</v>
      </c>
      <c r="I6" s="4" t="s">
        <v>11</v>
      </c>
      <c r="J6" s="4" t="s">
        <v>25</v>
      </c>
      <c r="K6" s="4" t="s">
        <v>443</v>
      </c>
      <c r="L6" s="4" t="s">
        <v>13</v>
      </c>
      <c r="M6" s="4" t="s">
        <v>14</v>
      </c>
    </row>
    <row r="7" spans="1:13" ht="15.5" x14ac:dyDescent="0.35">
      <c r="A7" s="13">
        <v>46031</v>
      </c>
      <c r="B7" s="4">
        <v>2026</v>
      </c>
      <c r="C7" s="15">
        <v>2</v>
      </c>
      <c r="D7" s="4" t="s">
        <v>26</v>
      </c>
      <c r="E7" s="4" t="s">
        <v>345</v>
      </c>
      <c r="F7" s="4" t="s">
        <v>352</v>
      </c>
      <c r="G7" s="4"/>
      <c r="H7" s="4" t="s">
        <v>27</v>
      </c>
      <c r="I7" s="4" t="s">
        <v>28</v>
      </c>
      <c r="J7" s="4" t="s">
        <v>29</v>
      </c>
      <c r="K7" s="4" t="s">
        <v>443</v>
      </c>
      <c r="L7" s="4" t="s">
        <v>13</v>
      </c>
      <c r="M7" s="4" t="s">
        <v>14</v>
      </c>
    </row>
    <row r="8" spans="1:13" ht="15.5" x14ac:dyDescent="0.35">
      <c r="A8" s="13">
        <v>46031</v>
      </c>
      <c r="B8" s="4">
        <v>2026</v>
      </c>
      <c r="C8" s="15">
        <v>2</v>
      </c>
      <c r="D8" s="4" t="s">
        <v>30</v>
      </c>
      <c r="E8" s="4" t="s">
        <v>345</v>
      </c>
      <c r="F8" s="4" t="s">
        <v>352</v>
      </c>
      <c r="G8" s="4"/>
      <c r="H8" s="4" t="s">
        <v>27</v>
      </c>
      <c r="I8" s="4" t="s">
        <v>11</v>
      </c>
      <c r="J8" s="4" t="s">
        <v>31</v>
      </c>
      <c r="K8" s="4" t="s">
        <v>442</v>
      </c>
      <c r="L8" s="4" t="s">
        <v>13</v>
      </c>
      <c r="M8" s="4" t="s">
        <v>14</v>
      </c>
    </row>
    <row r="9" spans="1:13" ht="15.5" x14ac:dyDescent="0.35">
      <c r="A9" s="13">
        <v>46031</v>
      </c>
      <c r="B9" s="4">
        <v>2026</v>
      </c>
      <c r="C9" s="15">
        <v>2</v>
      </c>
      <c r="D9" s="4" t="s">
        <v>32</v>
      </c>
      <c r="E9" s="4" t="s">
        <v>345</v>
      </c>
      <c r="F9" s="4" t="s">
        <v>352</v>
      </c>
      <c r="G9" s="4"/>
      <c r="H9" s="4" t="s">
        <v>18</v>
      </c>
      <c r="I9" s="4" t="s">
        <v>11</v>
      </c>
      <c r="J9" s="4" t="s">
        <v>33</v>
      </c>
      <c r="K9" s="4" t="s">
        <v>442</v>
      </c>
      <c r="L9" s="4" t="s">
        <v>13</v>
      </c>
      <c r="M9" s="4" t="s">
        <v>14</v>
      </c>
    </row>
    <row r="10" spans="1:13" ht="15.5" x14ac:dyDescent="0.35">
      <c r="A10" s="13">
        <v>46031</v>
      </c>
      <c r="B10" s="4">
        <v>2026</v>
      </c>
      <c r="C10" s="15">
        <v>2</v>
      </c>
      <c r="D10" s="4" t="s">
        <v>34</v>
      </c>
      <c r="E10" s="4" t="s">
        <v>345</v>
      </c>
      <c r="F10" s="4" t="s">
        <v>352</v>
      </c>
      <c r="G10" s="4"/>
      <c r="H10" s="4" t="s">
        <v>27</v>
      </c>
      <c r="I10" s="4" t="s">
        <v>11</v>
      </c>
      <c r="J10" s="4"/>
      <c r="K10" s="4"/>
      <c r="L10" s="4" t="s">
        <v>13</v>
      </c>
      <c r="M10" s="4" t="s">
        <v>14</v>
      </c>
    </row>
    <row r="11" spans="1:13" ht="15.5" x14ac:dyDescent="0.35">
      <c r="A11" s="13">
        <v>46034</v>
      </c>
      <c r="B11" s="4">
        <v>2026</v>
      </c>
      <c r="C11" s="15">
        <v>3</v>
      </c>
      <c r="D11" s="4" t="s">
        <v>35</v>
      </c>
      <c r="E11" s="4" t="s">
        <v>345</v>
      </c>
      <c r="F11" s="4" t="s">
        <v>352</v>
      </c>
      <c r="G11" s="4"/>
      <c r="H11" s="4" t="s">
        <v>18</v>
      </c>
      <c r="I11" s="4" t="s">
        <v>11</v>
      </c>
      <c r="J11" s="4" t="s">
        <v>36</v>
      </c>
      <c r="K11" s="4" t="s">
        <v>442</v>
      </c>
      <c r="L11" s="4" t="s">
        <v>13</v>
      </c>
      <c r="M11" s="4" t="s">
        <v>14</v>
      </c>
    </row>
    <row r="12" spans="1:13" ht="15.5" x14ac:dyDescent="0.35">
      <c r="A12" s="13">
        <v>46034</v>
      </c>
      <c r="B12" s="4">
        <v>2026</v>
      </c>
      <c r="C12" s="15">
        <v>3</v>
      </c>
      <c r="D12" s="4" t="s">
        <v>37</v>
      </c>
      <c r="E12" s="4" t="s">
        <v>345</v>
      </c>
      <c r="F12" s="4" t="s">
        <v>352</v>
      </c>
      <c r="G12" s="4"/>
      <c r="H12" s="4" t="s">
        <v>38</v>
      </c>
      <c r="I12" s="4" t="s">
        <v>28</v>
      </c>
      <c r="J12" s="4" t="s">
        <v>39</v>
      </c>
      <c r="K12" s="4" t="s">
        <v>443</v>
      </c>
      <c r="L12" s="4" t="s">
        <v>13</v>
      </c>
      <c r="M12" s="4" t="s">
        <v>14</v>
      </c>
    </row>
    <row r="13" spans="1:13" ht="15.5" x14ac:dyDescent="0.35">
      <c r="A13" s="13">
        <v>46034</v>
      </c>
      <c r="B13" s="4">
        <v>2026</v>
      </c>
      <c r="C13" s="15">
        <v>3</v>
      </c>
      <c r="D13" s="4" t="s">
        <v>40</v>
      </c>
      <c r="E13" s="4" t="s">
        <v>345</v>
      </c>
      <c r="F13" s="4" t="s">
        <v>352</v>
      </c>
      <c r="G13" s="4"/>
      <c r="H13" s="4" t="s">
        <v>41</v>
      </c>
      <c r="I13" s="4" t="s">
        <v>28</v>
      </c>
      <c r="J13" s="4" t="s">
        <v>42</v>
      </c>
      <c r="K13" s="4" t="s">
        <v>442</v>
      </c>
      <c r="L13" s="5" t="s">
        <v>43</v>
      </c>
      <c r="M13" s="4" t="s">
        <v>14</v>
      </c>
    </row>
    <row r="14" spans="1:13" ht="15.5" x14ac:dyDescent="0.35">
      <c r="A14" s="13">
        <v>46035</v>
      </c>
      <c r="B14" s="4">
        <v>2026</v>
      </c>
      <c r="C14" s="15">
        <v>3</v>
      </c>
      <c r="D14" s="4" t="s">
        <v>44</v>
      </c>
      <c r="E14" s="4" t="s">
        <v>345</v>
      </c>
      <c r="F14" s="4" t="s">
        <v>352</v>
      </c>
      <c r="G14" s="4"/>
      <c r="H14" s="4" t="s">
        <v>45</v>
      </c>
      <c r="I14" s="4" t="s">
        <v>28</v>
      </c>
      <c r="J14" s="4" t="s">
        <v>46</v>
      </c>
      <c r="K14" s="4" t="s">
        <v>443</v>
      </c>
      <c r="L14" s="4" t="s">
        <v>13</v>
      </c>
      <c r="M14" s="4" t="s">
        <v>14</v>
      </c>
    </row>
    <row r="15" spans="1:13" ht="15.5" x14ac:dyDescent="0.35">
      <c r="A15" s="13">
        <v>46036</v>
      </c>
      <c r="B15" s="4">
        <v>2026</v>
      </c>
      <c r="C15" s="15">
        <v>3</v>
      </c>
      <c r="D15" s="4" t="s">
        <v>47</v>
      </c>
      <c r="E15" s="4" t="s">
        <v>345</v>
      </c>
      <c r="F15" s="4" t="s">
        <v>352</v>
      </c>
      <c r="G15" s="4"/>
      <c r="H15" s="4" t="s">
        <v>48</v>
      </c>
      <c r="I15" s="4" t="s">
        <v>11</v>
      </c>
      <c r="J15" s="4" t="s">
        <v>49</v>
      </c>
      <c r="K15" s="4" t="s">
        <v>442</v>
      </c>
      <c r="L15" s="4" t="s">
        <v>13</v>
      </c>
      <c r="M15" s="4" t="s">
        <v>14</v>
      </c>
    </row>
    <row r="16" spans="1:13" ht="15.5" x14ac:dyDescent="0.35">
      <c r="A16" s="13">
        <v>46037</v>
      </c>
      <c r="B16" s="4">
        <v>2026</v>
      </c>
      <c r="C16" s="15">
        <v>3</v>
      </c>
      <c r="D16" s="4" t="s">
        <v>50</v>
      </c>
      <c r="E16" s="4" t="s">
        <v>345</v>
      </c>
      <c r="F16" s="4" t="s">
        <v>352</v>
      </c>
      <c r="G16" s="4"/>
      <c r="H16" s="4" t="s">
        <v>38</v>
      </c>
      <c r="I16" s="4" t="s">
        <v>28</v>
      </c>
      <c r="J16" s="4" t="s">
        <v>51</v>
      </c>
      <c r="K16" s="4" t="s">
        <v>443</v>
      </c>
      <c r="L16" s="4" t="s">
        <v>13</v>
      </c>
      <c r="M16" s="4" t="s">
        <v>14</v>
      </c>
    </row>
    <row r="17" spans="1:13" ht="15.5" x14ac:dyDescent="0.35">
      <c r="A17" s="13">
        <v>46037</v>
      </c>
      <c r="B17" s="4">
        <v>2026</v>
      </c>
      <c r="C17" s="15">
        <v>3</v>
      </c>
      <c r="D17" s="4" t="s">
        <v>52</v>
      </c>
      <c r="E17" s="4" t="s">
        <v>345</v>
      </c>
      <c r="F17" s="4" t="s">
        <v>352</v>
      </c>
      <c r="G17" s="4"/>
      <c r="H17" s="4" t="s">
        <v>53</v>
      </c>
      <c r="I17" s="4" t="s">
        <v>11</v>
      </c>
      <c r="J17" s="4" t="s">
        <v>51</v>
      </c>
      <c r="K17" s="4" t="s">
        <v>443</v>
      </c>
      <c r="L17" s="4" t="s">
        <v>13</v>
      </c>
      <c r="M17" s="4" t="s">
        <v>14</v>
      </c>
    </row>
    <row r="18" spans="1:13" ht="15.5" x14ac:dyDescent="0.35">
      <c r="A18" s="13">
        <v>46038</v>
      </c>
      <c r="B18" s="4">
        <v>2026</v>
      </c>
      <c r="C18" s="15">
        <v>3</v>
      </c>
      <c r="D18" s="4" t="s">
        <v>54</v>
      </c>
      <c r="E18" s="4" t="s">
        <v>345</v>
      </c>
      <c r="F18" s="4" t="s">
        <v>352</v>
      </c>
      <c r="G18" s="4"/>
      <c r="H18" s="4" t="s">
        <v>55</v>
      </c>
      <c r="I18" s="4" t="s">
        <v>11</v>
      </c>
      <c r="J18" s="4" t="s">
        <v>19</v>
      </c>
      <c r="K18" s="4" t="s">
        <v>442</v>
      </c>
      <c r="L18" s="4" t="s">
        <v>13</v>
      </c>
      <c r="M18" s="4" t="s">
        <v>14</v>
      </c>
    </row>
    <row r="19" spans="1:13" ht="15.5" x14ac:dyDescent="0.35">
      <c r="A19" s="13">
        <v>46044</v>
      </c>
      <c r="B19" s="4">
        <v>2026</v>
      </c>
      <c r="C19" s="15">
        <v>4</v>
      </c>
      <c r="D19" s="4" t="s">
        <v>56</v>
      </c>
      <c r="E19" s="4" t="s">
        <v>345</v>
      </c>
      <c r="F19" s="4" t="s">
        <v>352</v>
      </c>
      <c r="G19" s="4"/>
      <c r="H19" s="4" t="s">
        <v>57</v>
      </c>
      <c r="I19" s="4" t="s">
        <v>11</v>
      </c>
      <c r="J19" s="4" t="s">
        <v>58</v>
      </c>
      <c r="K19" s="4" t="s">
        <v>442</v>
      </c>
      <c r="L19" s="4" t="s">
        <v>13</v>
      </c>
      <c r="M19" s="4" t="s">
        <v>14</v>
      </c>
    </row>
    <row r="20" spans="1:13" ht="15.5" x14ac:dyDescent="0.35">
      <c r="A20" s="13">
        <v>46044</v>
      </c>
      <c r="B20" s="4">
        <v>2026</v>
      </c>
      <c r="C20" s="15">
        <v>4</v>
      </c>
      <c r="D20" s="4" t="s">
        <v>59</v>
      </c>
      <c r="E20" s="4" t="s">
        <v>345</v>
      </c>
      <c r="F20" s="4" t="s">
        <v>352</v>
      </c>
      <c r="G20" s="4"/>
      <c r="H20" s="4" t="s">
        <v>41</v>
      </c>
      <c r="I20" s="4" t="s">
        <v>28</v>
      </c>
      <c r="J20" s="4" t="s">
        <v>60</v>
      </c>
      <c r="K20" s="4" t="s">
        <v>442</v>
      </c>
      <c r="L20" s="4" t="s">
        <v>13</v>
      </c>
      <c r="M20" s="4" t="s">
        <v>14</v>
      </c>
    </row>
    <row r="21" spans="1:13" ht="15.5" x14ac:dyDescent="0.35">
      <c r="A21" s="13">
        <v>46045</v>
      </c>
      <c r="B21" s="4">
        <v>2026</v>
      </c>
      <c r="C21" s="15">
        <v>4</v>
      </c>
      <c r="D21" s="4" t="s">
        <v>61</v>
      </c>
      <c r="E21" s="4" t="s">
        <v>345</v>
      </c>
      <c r="F21" s="4" t="s">
        <v>352</v>
      </c>
      <c r="G21" s="4"/>
      <c r="H21" s="4" t="s">
        <v>38</v>
      </c>
      <c r="I21" s="4" t="s">
        <v>28</v>
      </c>
      <c r="J21" s="4" t="s">
        <v>12</v>
      </c>
      <c r="K21" s="4" t="s">
        <v>442</v>
      </c>
      <c r="L21" s="5" t="s">
        <v>43</v>
      </c>
      <c r="M21" s="4" t="s">
        <v>14</v>
      </c>
    </row>
    <row r="22" spans="1:13" ht="15.5" x14ac:dyDescent="0.35">
      <c r="A22" s="13">
        <v>46045</v>
      </c>
      <c r="B22" s="4">
        <v>2026</v>
      </c>
      <c r="C22" s="15">
        <v>4</v>
      </c>
      <c r="D22" s="4" t="s">
        <v>62</v>
      </c>
      <c r="E22" s="4" t="s">
        <v>345</v>
      </c>
      <c r="F22" s="4" t="s">
        <v>352</v>
      </c>
      <c r="G22" s="4"/>
      <c r="H22" s="4" t="s">
        <v>63</v>
      </c>
      <c r="I22" s="4" t="s">
        <v>11</v>
      </c>
      <c r="J22" s="4" t="s">
        <v>64</v>
      </c>
      <c r="K22" s="4" t="s">
        <v>443</v>
      </c>
      <c r="L22" s="4" t="s">
        <v>13</v>
      </c>
      <c r="M22" s="4" t="s">
        <v>14</v>
      </c>
    </row>
    <row r="23" spans="1:13" ht="15.5" x14ac:dyDescent="0.35">
      <c r="A23" s="13">
        <v>46045</v>
      </c>
      <c r="B23" s="4">
        <v>2026</v>
      </c>
      <c r="C23" s="15">
        <v>4</v>
      </c>
      <c r="D23" s="4" t="s">
        <v>65</v>
      </c>
      <c r="E23" s="4" t="s">
        <v>345</v>
      </c>
      <c r="F23" s="4" t="s">
        <v>352</v>
      </c>
      <c r="G23" s="4"/>
      <c r="H23" s="4" t="s">
        <v>10</v>
      </c>
      <c r="I23" s="4" t="s">
        <v>28</v>
      </c>
      <c r="J23" s="4" t="s">
        <v>12</v>
      </c>
      <c r="K23" s="4" t="s">
        <v>442</v>
      </c>
      <c r="L23" s="5" t="s">
        <v>43</v>
      </c>
      <c r="M23" s="4" t="s">
        <v>14</v>
      </c>
    </row>
    <row r="24" spans="1:13" ht="15.5" x14ac:dyDescent="0.35">
      <c r="A24" s="13">
        <v>46048</v>
      </c>
      <c r="B24" s="4">
        <v>2026</v>
      </c>
      <c r="C24" s="15">
        <v>5</v>
      </c>
      <c r="D24" s="4" t="s">
        <v>66</v>
      </c>
      <c r="E24" s="4" t="s">
        <v>345</v>
      </c>
      <c r="F24" s="4" t="s">
        <v>352</v>
      </c>
      <c r="G24" s="4"/>
      <c r="H24" s="4" t="s">
        <v>67</v>
      </c>
      <c r="I24" s="4" t="s">
        <v>11</v>
      </c>
      <c r="J24" s="4" t="s">
        <v>25</v>
      </c>
      <c r="K24" s="4" t="s">
        <v>443</v>
      </c>
      <c r="L24" s="4" t="s">
        <v>13</v>
      </c>
      <c r="M24" s="4" t="s">
        <v>14</v>
      </c>
    </row>
    <row r="25" spans="1:13" ht="15.5" x14ac:dyDescent="0.35">
      <c r="A25" s="13">
        <v>46048</v>
      </c>
      <c r="B25" s="4">
        <v>2026</v>
      </c>
      <c r="C25" s="15">
        <v>5</v>
      </c>
      <c r="D25" s="4" t="s">
        <v>68</v>
      </c>
      <c r="E25" s="4" t="s">
        <v>345</v>
      </c>
      <c r="F25" s="4" t="s">
        <v>352</v>
      </c>
      <c r="G25" s="4"/>
      <c r="H25" s="4" t="s">
        <v>38</v>
      </c>
      <c r="I25" s="4" t="s">
        <v>28</v>
      </c>
      <c r="J25" s="4" t="s">
        <v>69</v>
      </c>
      <c r="K25" s="4" t="s">
        <v>442</v>
      </c>
      <c r="L25" s="4" t="s">
        <v>13</v>
      </c>
      <c r="M25" s="4" t="s">
        <v>14</v>
      </c>
    </row>
    <row r="26" spans="1:13" ht="15.5" x14ac:dyDescent="0.35">
      <c r="A26" s="13">
        <v>46048</v>
      </c>
      <c r="B26" s="4">
        <v>2026</v>
      </c>
      <c r="C26" s="15">
        <v>5</v>
      </c>
      <c r="D26" s="4" t="s">
        <v>70</v>
      </c>
      <c r="E26" s="4" t="s">
        <v>345</v>
      </c>
      <c r="F26" s="4" t="s">
        <v>352</v>
      </c>
      <c r="G26" s="4"/>
      <c r="H26" s="4" t="s">
        <v>71</v>
      </c>
      <c r="I26" s="4" t="s">
        <v>28</v>
      </c>
      <c r="J26" s="4" t="s">
        <v>36</v>
      </c>
      <c r="K26" s="4" t="s">
        <v>442</v>
      </c>
      <c r="L26" s="4" t="s">
        <v>13</v>
      </c>
      <c r="M26" s="4" t="s">
        <v>14</v>
      </c>
    </row>
    <row r="27" spans="1:13" ht="15.5" x14ac:dyDescent="0.35">
      <c r="A27" s="13">
        <v>46048</v>
      </c>
      <c r="B27" s="4">
        <v>2026</v>
      </c>
      <c r="C27" s="15">
        <v>5</v>
      </c>
      <c r="D27" s="4" t="s">
        <v>72</v>
      </c>
      <c r="E27" s="4" t="s">
        <v>345</v>
      </c>
      <c r="F27" s="4" t="s">
        <v>352</v>
      </c>
      <c r="G27" s="4"/>
      <c r="H27" s="4" t="s">
        <v>38</v>
      </c>
      <c r="I27" s="4" t="s">
        <v>11</v>
      </c>
      <c r="J27" s="4" t="s">
        <v>31</v>
      </c>
      <c r="K27" s="4" t="s">
        <v>442</v>
      </c>
      <c r="L27" s="4" t="s">
        <v>13</v>
      </c>
      <c r="M27" s="4" t="s">
        <v>14</v>
      </c>
    </row>
    <row r="28" spans="1:13" ht="15.5" x14ac:dyDescent="0.35">
      <c r="A28" s="13">
        <v>46048</v>
      </c>
      <c r="B28" s="4">
        <v>2026</v>
      </c>
      <c r="C28" s="15">
        <v>5</v>
      </c>
      <c r="D28" s="4" t="s">
        <v>73</v>
      </c>
      <c r="E28" s="4" t="s">
        <v>345</v>
      </c>
      <c r="F28" s="4" t="s">
        <v>352</v>
      </c>
      <c r="G28" s="4"/>
      <c r="H28" s="4" t="s">
        <v>74</v>
      </c>
      <c r="I28" s="4" t="s">
        <v>28</v>
      </c>
      <c r="J28" s="4" t="s">
        <v>19</v>
      </c>
      <c r="K28" s="4" t="s">
        <v>442</v>
      </c>
      <c r="L28" s="4" t="s">
        <v>13</v>
      </c>
      <c r="M28" s="4" t="s">
        <v>14</v>
      </c>
    </row>
    <row r="29" spans="1:13" ht="15.5" x14ac:dyDescent="0.35">
      <c r="A29" s="13">
        <v>46048</v>
      </c>
      <c r="B29" s="4">
        <v>2026</v>
      </c>
      <c r="C29" s="15">
        <v>5</v>
      </c>
      <c r="D29" s="4" t="s">
        <v>75</v>
      </c>
      <c r="E29" s="4" t="s">
        <v>345</v>
      </c>
      <c r="F29" s="4" t="s">
        <v>352</v>
      </c>
      <c r="G29" s="4"/>
      <c r="H29" s="4" t="s">
        <v>71</v>
      </c>
      <c r="I29" s="4" t="s">
        <v>11</v>
      </c>
      <c r="J29" s="4" t="s">
        <v>36</v>
      </c>
      <c r="K29" s="4" t="s">
        <v>442</v>
      </c>
      <c r="L29" s="6" t="s">
        <v>76</v>
      </c>
      <c r="M29" s="4" t="s">
        <v>14</v>
      </c>
    </row>
    <row r="30" spans="1:13" ht="15.5" x14ac:dyDescent="0.35">
      <c r="A30" s="13">
        <v>46049</v>
      </c>
      <c r="B30" s="4">
        <v>2026</v>
      </c>
      <c r="C30" s="15">
        <v>5</v>
      </c>
      <c r="D30" s="4" t="s">
        <v>77</v>
      </c>
      <c r="E30" s="4" t="s">
        <v>345</v>
      </c>
      <c r="F30" s="4" t="s">
        <v>352</v>
      </c>
      <c r="G30" s="4"/>
      <c r="H30" s="4" t="s">
        <v>67</v>
      </c>
      <c r="I30" s="4" t="s">
        <v>11</v>
      </c>
      <c r="J30" s="4" t="s">
        <v>12</v>
      </c>
      <c r="K30" s="4" t="s">
        <v>442</v>
      </c>
      <c r="L30" s="4" t="s">
        <v>13</v>
      </c>
      <c r="M30" s="4" t="s">
        <v>14</v>
      </c>
    </row>
    <row r="31" spans="1:13" ht="15.5" x14ac:dyDescent="0.35">
      <c r="A31" s="13">
        <v>46050</v>
      </c>
      <c r="B31" s="4">
        <v>2026</v>
      </c>
      <c r="C31" s="15">
        <v>5</v>
      </c>
      <c r="D31" s="4" t="s">
        <v>78</v>
      </c>
      <c r="E31" s="4" t="s">
        <v>345</v>
      </c>
      <c r="F31" s="4" t="s">
        <v>352</v>
      </c>
      <c r="G31" s="4"/>
      <c r="H31" s="4" t="s">
        <v>21</v>
      </c>
      <c r="I31" s="4" t="s">
        <v>11</v>
      </c>
      <c r="J31" s="4" t="s">
        <v>79</v>
      </c>
      <c r="K31" s="4" t="s">
        <v>442</v>
      </c>
      <c r="L31" s="4" t="s">
        <v>13</v>
      </c>
      <c r="M31" s="4" t="s">
        <v>14</v>
      </c>
    </row>
    <row r="32" spans="1:13" ht="15.5" x14ac:dyDescent="0.35">
      <c r="A32" s="13">
        <v>46051</v>
      </c>
      <c r="B32" s="4">
        <v>2026</v>
      </c>
      <c r="C32" s="15">
        <v>5</v>
      </c>
      <c r="D32" s="4" t="s">
        <v>80</v>
      </c>
      <c r="E32" s="4" t="s">
        <v>345</v>
      </c>
      <c r="F32" s="4" t="s">
        <v>352</v>
      </c>
      <c r="G32" s="4"/>
      <c r="H32" s="4" t="s">
        <v>81</v>
      </c>
      <c r="I32" s="4" t="s">
        <v>28</v>
      </c>
      <c r="J32" s="4"/>
      <c r="K32" s="4"/>
      <c r="L32" s="4" t="s">
        <v>13</v>
      </c>
      <c r="M32" s="4" t="s">
        <v>14</v>
      </c>
    </row>
    <row r="33" spans="1:13" ht="15.5" x14ac:dyDescent="0.35">
      <c r="A33" s="13">
        <v>46051</v>
      </c>
      <c r="B33" s="4">
        <v>2026</v>
      </c>
      <c r="C33" s="15">
        <v>5</v>
      </c>
      <c r="D33" s="4" t="s">
        <v>82</v>
      </c>
      <c r="E33" s="4" t="s">
        <v>345</v>
      </c>
      <c r="F33" s="4" t="s">
        <v>352</v>
      </c>
      <c r="G33" s="4"/>
      <c r="H33" s="4" t="s">
        <v>83</v>
      </c>
      <c r="I33" s="4" t="s">
        <v>28</v>
      </c>
      <c r="J33" s="4" t="s">
        <v>84</v>
      </c>
      <c r="K33" s="4" t="s">
        <v>442</v>
      </c>
      <c r="L33" s="4" t="s">
        <v>13</v>
      </c>
      <c r="M33" s="4" t="s">
        <v>14</v>
      </c>
    </row>
    <row r="34" spans="1:13" ht="15.5" x14ac:dyDescent="0.35">
      <c r="A34" s="13">
        <v>46052</v>
      </c>
      <c r="B34" s="4">
        <v>2026</v>
      </c>
      <c r="C34" s="15">
        <v>5</v>
      </c>
      <c r="D34" s="4" t="s">
        <v>85</v>
      </c>
      <c r="E34" s="4" t="s">
        <v>345</v>
      </c>
      <c r="F34" s="4" t="s">
        <v>352</v>
      </c>
      <c r="G34" s="4"/>
      <c r="H34" s="4" t="s">
        <v>41</v>
      </c>
      <c r="I34" s="4" t="s">
        <v>11</v>
      </c>
      <c r="J34" s="4" t="s">
        <v>51</v>
      </c>
      <c r="K34" s="4" t="s">
        <v>443</v>
      </c>
      <c r="L34" s="4" t="s">
        <v>13</v>
      </c>
      <c r="M34" s="4" t="s">
        <v>14</v>
      </c>
    </row>
    <row r="35" spans="1:13" ht="15.5" x14ac:dyDescent="0.35">
      <c r="A35" s="13">
        <v>46057</v>
      </c>
      <c r="B35" s="4">
        <v>2026</v>
      </c>
      <c r="C35" s="15">
        <v>6</v>
      </c>
      <c r="D35" s="4" t="s">
        <v>86</v>
      </c>
      <c r="E35" s="4" t="s">
        <v>346</v>
      </c>
      <c r="F35" s="4" t="s">
        <v>353</v>
      </c>
      <c r="G35" s="4">
        <v>40</v>
      </c>
      <c r="H35" s="4" t="s">
        <v>41</v>
      </c>
      <c r="I35" s="4" t="s">
        <v>28</v>
      </c>
      <c r="J35" s="4" t="s">
        <v>87</v>
      </c>
      <c r="K35" s="4" t="s">
        <v>442</v>
      </c>
      <c r="L35" s="4" t="s">
        <v>13</v>
      </c>
      <c r="M35" s="4" t="s">
        <v>14</v>
      </c>
    </row>
    <row r="36" spans="1:13" ht="15.5" x14ac:dyDescent="0.35">
      <c r="A36" s="13">
        <v>46059</v>
      </c>
      <c r="B36" s="4">
        <v>2026</v>
      </c>
      <c r="C36" s="15">
        <v>6</v>
      </c>
      <c r="D36" s="4" t="s">
        <v>89</v>
      </c>
      <c r="E36" s="4" t="s">
        <v>346</v>
      </c>
      <c r="F36" s="4" t="s">
        <v>353</v>
      </c>
      <c r="G36" s="4"/>
      <c r="H36" s="4" t="s">
        <v>90</v>
      </c>
      <c r="I36" s="4" t="s">
        <v>11</v>
      </c>
      <c r="J36" s="4" t="s">
        <v>36</v>
      </c>
      <c r="K36" s="4" t="s">
        <v>442</v>
      </c>
      <c r="L36" s="4" t="s">
        <v>13</v>
      </c>
      <c r="M36" s="4" t="s">
        <v>14</v>
      </c>
    </row>
    <row r="37" spans="1:13" ht="15.5" x14ac:dyDescent="0.35">
      <c r="A37" s="13">
        <v>46062</v>
      </c>
      <c r="B37" s="4">
        <v>2026</v>
      </c>
      <c r="C37" s="15">
        <v>7</v>
      </c>
      <c r="D37" s="4" t="s">
        <v>91</v>
      </c>
      <c r="E37" s="4" t="s">
        <v>346</v>
      </c>
      <c r="F37" s="4" t="s">
        <v>353</v>
      </c>
      <c r="G37" s="4"/>
      <c r="H37" s="4" t="s">
        <v>41</v>
      </c>
      <c r="I37" s="4" t="s">
        <v>28</v>
      </c>
      <c r="J37" s="4" t="s">
        <v>92</v>
      </c>
      <c r="K37" s="4" t="s">
        <v>442</v>
      </c>
      <c r="L37" s="4" t="s">
        <v>13</v>
      </c>
      <c r="M37" s="4" t="s">
        <v>14</v>
      </c>
    </row>
    <row r="38" spans="1:13" ht="15.5" x14ac:dyDescent="0.35">
      <c r="A38" s="13">
        <v>46063</v>
      </c>
      <c r="B38" s="4">
        <v>2026</v>
      </c>
      <c r="C38" s="15">
        <v>7</v>
      </c>
      <c r="D38" s="4" t="s">
        <v>93</v>
      </c>
      <c r="E38" s="4" t="s">
        <v>346</v>
      </c>
      <c r="F38" s="4" t="s">
        <v>353</v>
      </c>
      <c r="G38" s="4"/>
      <c r="H38" s="4" t="s">
        <v>38</v>
      </c>
      <c r="I38" s="4" t="s">
        <v>11</v>
      </c>
      <c r="J38" s="4" t="s">
        <v>36</v>
      </c>
      <c r="K38" s="4" t="s">
        <v>442</v>
      </c>
      <c r="L38" s="4" t="s">
        <v>13</v>
      </c>
      <c r="M38" s="4" t="s">
        <v>14</v>
      </c>
    </row>
    <row r="39" spans="1:13" ht="15.5" x14ac:dyDescent="0.35">
      <c r="A39" s="13">
        <v>46063</v>
      </c>
      <c r="B39" s="4">
        <v>2026</v>
      </c>
      <c r="C39" s="15">
        <v>7</v>
      </c>
      <c r="D39" s="4" t="s">
        <v>94</v>
      </c>
      <c r="E39" s="4" t="s">
        <v>346</v>
      </c>
      <c r="F39" s="4" t="s">
        <v>353</v>
      </c>
      <c r="G39" s="4"/>
      <c r="H39" s="4" t="s">
        <v>83</v>
      </c>
      <c r="I39" s="4" t="s">
        <v>28</v>
      </c>
      <c r="J39" s="4" t="s">
        <v>39</v>
      </c>
      <c r="K39" s="4" t="s">
        <v>443</v>
      </c>
      <c r="L39" s="4" t="s">
        <v>13</v>
      </c>
      <c r="M39" s="4" t="s">
        <v>14</v>
      </c>
    </row>
    <row r="40" spans="1:13" ht="15.5" x14ac:dyDescent="0.35">
      <c r="A40" s="13">
        <v>46063</v>
      </c>
      <c r="B40" s="4">
        <v>2026</v>
      </c>
      <c r="C40" s="15">
        <v>7</v>
      </c>
      <c r="D40" s="4" t="s">
        <v>95</v>
      </c>
      <c r="E40" s="4" t="s">
        <v>346</v>
      </c>
      <c r="F40" s="4" t="s">
        <v>353</v>
      </c>
      <c r="G40" s="4"/>
      <c r="H40" s="4" t="s">
        <v>41</v>
      </c>
      <c r="I40" s="4" t="s">
        <v>28</v>
      </c>
      <c r="J40" s="4" t="s">
        <v>84</v>
      </c>
      <c r="K40" s="4" t="s">
        <v>442</v>
      </c>
      <c r="L40" s="4" t="s">
        <v>13</v>
      </c>
      <c r="M40" s="4" t="s">
        <v>14</v>
      </c>
    </row>
    <row r="41" spans="1:13" ht="15.5" x14ac:dyDescent="0.35">
      <c r="A41" s="13">
        <v>46065</v>
      </c>
      <c r="B41" s="4">
        <v>2026</v>
      </c>
      <c r="C41" s="15">
        <v>7</v>
      </c>
      <c r="D41" s="4" t="s">
        <v>96</v>
      </c>
      <c r="E41" s="4" t="s">
        <v>346</v>
      </c>
      <c r="F41" s="4" t="s">
        <v>353</v>
      </c>
      <c r="G41" s="4"/>
      <c r="H41" s="4" t="s">
        <v>71</v>
      </c>
      <c r="I41" s="4" t="s">
        <v>11</v>
      </c>
      <c r="J41" s="4" t="s">
        <v>12</v>
      </c>
      <c r="K41" s="4" t="s">
        <v>442</v>
      </c>
      <c r="L41" s="4" t="s">
        <v>13</v>
      </c>
      <c r="M41" s="4" t="s">
        <v>14</v>
      </c>
    </row>
    <row r="42" spans="1:13" ht="15.5" x14ac:dyDescent="0.35">
      <c r="A42" s="13">
        <v>46064</v>
      </c>
      <c r="B42" s="4">
        <v>2026</v>
      </c>
      <c r="C42" s="15">
        <v>7</v>
      </c>
      <c r="D42" s="4" t="s">
        <v>97</v>
      </c>
      <c r="E42" s="4" t="s">
        <v>346</v>
      </c>
      <c r="F42" s="4" t="s">
        <v>353</v>
      </c>
      <c r="G42" s="4"/>
      <c r="H42" s="4" t="s">
        <v>27</v>
      </c>
      <c r="I42" s="4" t="s">
        <v>11</v>
      </c>
      <c r="J42" s="4" t="s">
        <v>12</v>
      </c>
      <c r="K42" s="4" t="s">
        <v>442</v>
      </c>
      <c r="L42" s="4" t="s">
        <v>13</v>
      </c>
      <c r="M42" s="4" t="s">
        <v>14</v>
      </c>
    </row>
    <row r="43" spans="1:13" ht="15.5" x14ac:dyDescent="0.35">
      <c r="A43" s="13">
        <v>46065</v>
      </c>
      <c r="B43" s="4">
        <v>2026</v>
      </c>
      <c r="C43" s="15">
        <v>7</v>
      </c>
      <c r="D43" s="4" t="s">
        <v>98</v>
      </c>
      <c r="E43" s="4" t="s">
        <v>346</v>
      </c>
      <c r="F43" s="4" t="s">
        <v>353</v>
      </c>
      <c r="G43" s="4"/>
      <c r="H43" s="4" t="s">
        <v>41</v>
      </c>
      <c r="I43" s="4" t="s">
        <v>11</v>
      </c>
      <c r="J43" s="4" t="s">
        <v>60</v>
      </c>
      <c r="K43" s="4" t="s">
        <v>442</v>
      </c>
      <c r="L43" s="6" t="s">
        <v>76</v>
      </c>
      <c r="M43" s="4" t="s">
        <v>14</v>
      </c>
    </row>
    <row r="44" spans="1:13" ht="15.5" x14ac:dyDescent="0.35">
      <c r="A44" s="13">
        <v>46065</v>
      </c>
      <c r="B44" s="4">
        <v>2026</v>
      </c>
      <c r="C44" s="15">
        <v>7</v>
      </c>
      <c r="D44" s="4" t="s">
        <v>99</v>
      </c>
      <c r="E44" s="4" t="s">
        <v>346</v>
      </c>
      <c r="F44" s="4" t="s">
        <v>353</v>
      </c>
      <c r="G44" s="4"/>
      <c r="H44" s="4" t="s">
        <v>41</v>
      </c>
      <c r="I44" s="4" t="s">
        <v>28</v>
      </c>
      <c r="J44" s="4" t="s">
        <v>51</v>
      </c>
      <c r="K44" s="4" t="s">
        <v>443</v>
      </c>
      <c r="L44" s="4" t="s">
        <v>13</v>
      </c>
      <c r="M44" s="4" t="s">
        <v>14</v>
      </c>
    </row>
    <row r="45" spans="1:13" ht="15.5" x14ac:dyDescent="0.35">
      <c r="A45" s="13">
        <v>46065</v>
      </c>
      <c r="B45" s="4">
        <v>2026</v>
      </c>
      <c r="C45" s="15">
        <v>7</v>
      </c>
      <c r="D45" s="4" t="s">
        <v>100</v>
      </c>
      <c r="E45" s="4" t="s">
        <v>346</v>
      </c>
      <c r="F45" s="4" t="s">
        <v>353</v>
      </c>
      <c r="G45" s="4"/>
      <c r="H45" s="4" t="s">
        <v>41</v>
      </c>
      <c r="I45" s="4" t="s">
        <v>11</v>
      </c>
      <c r="J45" s="4" t="s">
        <v>84</v>
      </c>
      <c r="K45" s="4" t="s">
        <v>442</v>
      </c>
      <c r="L45" s="6" t="s">
        <v>43</v>
      </c>
      <c r="M45" s="4" t="s">
        <v>14</v>
      </c>
    </row>
    <row r="46" spans="1:13" ht="15.5" x14ac:dyDescent="0.35">
      <c r="A46" s="13">
        <v>46069</v>
      </c>
      <c r="B46" s="4">
        <v>2026</v>
      </c>
      <c r="C46" s="15">
        <v>8</v>
      </c>
      <c r="D46" s="4" t="s">
        <v>101</v>
      </c>
      <c r="E46" s="4" t="s">
        <v>346</v>
      </c>
      <c r="F46" s="4" t="s">
        <v>353</v>
      </c>
      <c r="G46" s="4"/>
      <c r="H46" s="4" t="s">
        <v>27</v>
      </c>
      <c r="I46" s="4" t="s">
        <v>11</v>
      </c>
      <c r="J46" s="4" t="s">
        <v>84</v>
      </c>
      <c r="K46" s="4" t="s">
        <v>442</v>
      </c>
      <c r="L46" s="4" t="s">
        <v>13</v>
      </c>
      <c r="M46" s="4" t="s">
        <v>14</v>
      </c>
    </row>
    <row r="47" spans="1:13" ht="15.5" x14ac:dyDescent="0.35">
      <c r="A47" s="13">
        <v>46069</v>
      </c>
      <c r="B47" s="4">
        <v>2026</v>
      </c>
      <c r="C47" s="15">
        <v>8</v>
      </c>
      <c r="D47" s="4" t="s">
        <v>102</v>
      </c>
      <c r="E47" s="4" t="s">
        <v>346</v>
      </c>
      <c r="F47" s="4" t="s">
        <v>353</v>
      </c>
      <c r="G47" s="4"/>
      <c r="H47" s="4" t="s">
        <v>41</v>
      </c>
      <c r="I47" s="4" t="s">
        <v>11</v>
      </c>
      <c r="J47" s="4" t="s">
        <v>16</v>
      </c>
      <c r="K47" s="4" t="s">
        <v>442</v>
      </c>
      <c r="L47" s="4" t="s">
        <v>13</v>
      </c>
      <c r="M47" s="4" t="s">
        <v>14</v>
      </c>
    </row>
    <row r="48" spans="1:13" ht="15.5" x14ac:dyDescent="0.35">
      <c r="A48" s="13">
        <v>46069</v>
      </c>
      <c r="B48" s="4">
        <v>2026</v>
      </c>
      <c r="C48" s="15">
        <v>8</v>
      </c>
      <c r="D48" s="4" t="s">
        <v>103</v>
      </c>
      <c r="E48" s="4" t="s">
        <v>346</v>
      </c>
      <c r="F48" s="4" t="s">
        <v>353</v>
      </c>
      <c r="G48" s="4"/>
      <c r="H48" s="4" t="s">
        <v>45</v>
      </c>
      <c r="I48" s="4" t="s">
        <v>11</v>
      </c>
      <c r="J48" s="4" t="s">
        <v>104</v>
      </c>
      <c r="K48" s="4" t="s">
        <v>443</v>
      </c>
      <c r="L48" s="4" t="s">
        <v>13</v>
      </c>
      <c r="M48" s="4" t="s">
        <v>14</v>
      </c>
    </row>
    <row r="49" spans="1:13" ht="15.5" x14ac:dyDescent="0.35">
      <c r="A49" s="13">
        <v>46069</v>
      </c>
      <c r="B49" s="4">
        <v>2026</v>
      </c>
      <c r="C49" s="15">
        <v>8</v>
      </c>
      <c r="D49" s="4" t="s">
        <v>105</v>
      </c>
      <c r="E49" s="4" t="s">
        <v>346</v>
      </c>
      <c r="F49" s="4" t="s">
        <v>353</v>
      </c>
      <c r="G49" s="4"/>
      <c r="H49" s="4" t="s">
        <v>27</v>
      </c>
      <c r="I49" s="4" t="s">
        <v>28</v>
      </c>
      <c r="J49" s="4" t="s">
        <v>36</v>
      </c>
      <c r="K49" s="4" t="s">
        <v>442</v>
      </c>
      <c r="L49" s="4" t="s">
        <v>13</v>
      </c>
      <c r="M49" s="4" t="s">
        <v>14</v>
      </c>
    </row>
    <row r="50" spans="1:13" ht="15.5" x14ac:dyDescent="0.35">
      <c r="A50" s="13">
        <v>46070</v>
      </c>
      <c r="B50" s="4">
        <v>2026</v>
      </c>
      <c r="C50" s="15">
        <v>8</v>
      </c>
      <c r="D50" s="4" t="s">
        <v>106</v>
      </c>
      <c r="E50" s="4" t="s">
        <v>346</v>
      </c>
      <c r="F50" s="4" t="s">
        <v>353</v>
      </c>
      <c r="G50" s="4"/>
      <c r="H50" s="4" t="s">
        <v>71</v>
      </c>
      <c r="I50" s="4" t="s">
        <v>11</v>
      </c>
      <c r="J50" s="4" t="s">
        <v>36</v>
      </c>
      <c r="K50" s="4" t="s">
        <v>442</v>
      </c>
      <c r="L50" s="7" t="s">
        <v>107</v>
      </c>
      <c r="M50" s="4" t="s">
        <v>14</v>
      </c>
    </row>
    <row r="51" spans="1:13" ht="15.5" x14ac:dyDescent="0.35">
      <c r="A51" s="13">
        <v>46071</v>
      </c>
      <c r="B51" s="4">
        <v>2026</v>
      </c>
      <c r="C51" s="15">
        <v>8</v>
      </c>
      <c r="D51" s="4" t="s">
        <v>108</v>
      </c>
      <c r="E51" s="4" t="s">
        <v>346</v>
      </c>
      <c r="F51" s="4" t="s">
        <v>353</v>
      </c>
      <c r="G51" s="4"/>
      <c r="H51" s="4" t="s">
        <v>41</v>
      </c>
      <c r="I51" s="4" t="s">
        <v>11</v>
      </c>
      <c r="J51" s="4" t="s">
        <v>25</v>
      </c>
      <c r="K51" s="4" t="s">
        <v>443</v>
      </c>
      <c r="L51" s="4" t="s">
        <v>13</v>
      </c>
      <c r="M51" s="4" t="s">
        <v>14</v>
      </c>
    </row>
    <row r="52" spans="1:13" ht="15.5" x14ac:dyDescent="0.35">
      <c r="A52" s="13">
        <v>46071</v>
      </c>
      <c r="B52" s="4">
        <v>2026</v>
      </c>
      <c r="C52" s="15">
        <v>8</v>
      </c>
      <c r="D52" s="4" t="s">
        <v>109</v>
      </c>
      <c r="E52" s="4" t="s">
        <v>346</v>
      </c>
      <c r="F52" s="4" t="s">
        <v>353</v>
      </c>
      <c r="G52" s="4"/>
      <c r="H52" s="4" t="s">
        <v>41</v>
      </c>
      <c r="I52" s="4" t="s">
        <v>11</v>
      </c>
      <c r="J52" s="4" t="s">
        <v>51</v>
      </c>
      <c r="K52" s="4" t="s">
        <v>443</v>
      </c>
      <c r="L52" s="4" t="s">
        <v>13</v>
      </c>
      <c r="M52" s="4" t="s">
        <v>14</v>
      </c>
    </row>
    <row r="53" spans="1:13" ht="15.5" x14ac:dyDescent="0.35">
      <c r="A53" s="13">
        <v>46072</v>
      </c>
      <c r="B53" s="4">
        <v>2026</v>
      </c>
      <c r="C53" s="15">
        <v>8</v>
      </c>
      <c r="D53" s="4" t="s">
        <v>110</v>
      </c>
      <c r="E53" s="4" t="s">
        <v>346</v>
      </c>
      <c r="F53" s="4" t="s">
        <v>353</v>
      </c>
      <c r="G53" s="4"/>
      <c r="H53" s="4" t="s">
        <v>111</v>
      </c>
      <c r="I53" s="4" t="s">
        <v>11</v>
      </c>
      <c r="J53" s="4" t="s">
        <v>49</v>
      </c>
      <c r="K53" s="4" t="s">
        <v>442</v>
      </c>
      <c r="L53" s="4" t="s">
        <v>13</v>
      </c>
      <c r="M53" s="4" t="s">
        <v>14</v>
      </c>
    </row>
    <row r="54" spans="1:13" ht="15.5" x14ac:dyDescent="0.35">
      <c r="A54" s="13">
        <v>46072</v>
      </c>
      <c r="B54" s="4">
        <v>2026</v>
      </c>
      <c r="C54" s="15">
        <v>8</v>
      </c>
      <c r="D54" s="4" t="s">
        <v>112</v>
      </c>
      <c r="E54" s="4" t="s">
        <v>346</v>
      </c>
      <c r="F54" s="4" t="s">
        <v>353</v>
      </c>
      <c r="G54" s="4"/>
      <c r="H54" s="4" t="s">
        <v>113</v>
      </c>
      <c r="I54" s="4" t="s">
        <v>28</v>
      </c>
      <c r="J54" s="4" t="s">
        <v>19</v>
      </c>
      <c r="K54" s="4" t="s">
        <v>442</v>
      </c>
      <c r="L54" s="4" t="s">
        <v>13</v>
      </c>
      <c r="M54" s="4" t="s">
        <v>14</v>
      </c>
    </row>
    <row r="55" spans="1:13" ht="15.5" x14ac:dyDescent="0.35">
      <c r="A55" s="13">
        <v>46072</v>
      </c>
      <c r="B55" s="4">
        <v>2026</v>
      </c>
      <c r="C55" s="15">
        <v>8</v>
      </c>
      <c r="D55" s="4" t="s">
        <v>114</v>
      </c>
      <c r="E55" s="4" t="s">
        <v>346</v>
      </c>
      <c r="F55" s="4" t="s">
        <v>353</v>
      </c>
      <c r="G55" s="4"/>
      <c r="H55" s="4" t="s">
        <v>21</v>
      </c>
      <c r="I55" s="4" t="s">
        <v>11</v>
      </c>
      <c r="J55" s="4" t="s">
        <v>115</v>
      </c>
      <c r="K55" s="4" t="s">
        <v>442</v>
      </c>
      <c r="L55" s="4" t="s">
        <v>13</v>
      </c>
      <c r="M55" s="4" t="s">
        <v>14</v>
      </c>
    </row>
    <row r="56" spans="1:13" ht="15.5" x14ac:dyDescent="0.35">
      <c r="A56" s="13">
        <v>46076</v>
      </c>
      <c r="B56" s="4">
        <v>2026</v>
      </c>
      <c r="C56" s="15">
        <v>9</v>
      </c>
      <c r="D56" s="4" t="s">
        <v>116</v>
      </c>
      <c r="E56" s="4" t="s">
        <v>346</v>
      </c>
      <c r="F56" s="4" t="s">
        <v>353</v>
      </c>
      <c r="G56" s="4"/>
      <c r="H56" s="4" t="s">
        <v>10</v>
      </c>
      <c r="I56" s="4" t="s">
        <v>28</v>
      </c>
      <c r="J56" s="4"/>
      <c r="K56" s="4"/>
      <c r="L56" s="4" t="s">
        <v>13</v>
      </c>
      <c r="M56" s="4" t="s">
        <v>14</v>
      </c>
    </row>
    <row r="57" spans="1:13" ht="15.5" x14ac:dyDescent="0.35">
      <c r="A57" s="13">
        <v>46076</v>
      </c>
      <c r="B57" s="4">
        <v>2026</v>
      </c>
      <c r="C57" s="15">
        <v>9</v>
      </c>
      <c r="D57" s="4" t="s">
        <v>117</v>
      </c>
      <c r="E57" s="4" t="s">
        <v>346</v>
      </c>
      <c r="F57" s="4" t="s">
        <v>353</v>
      </c>
      <c r="G57" s="4"/>
      <c r="H57" s="4" t="s">
        <v>118</v>
      </c>
      <c r="I57" s="4" t="s">
        <v>28</v>
      </c>
      <c r="J57" s="4" t="s">
        <v>42</v>
      </c>
      <c r="K57" s="4" t="s">
        <v>442</v>
      </c>
      <c r="L57" s="4" t="s">
        <v>13</v>
      </c>
      <c r="M57" s="4" t="s">
        <v>14</v>
      </c>
    </row>
    <row r="58" spans="1:13" ht="15.5" x14ac:dyDescent="0.35">
      <c r="A58" s="13">
        <v>46076</v>
      </c>
      <c r="B58" s="4">
        <v>2026</v>
      </c>
      <c r="C58" s="15">
        <v>9</v>
      </c>
      <c r="D58" s="4" t="s">
        <v>119</v>
      </c>
      <c r="E58" s="4" t="s">
        <v>346</v>
      </c>
      <c r="F58" s="4" t="s">
        <v>353</v>
      </c>
      <c r="G58" s="4"/>
      <c r="H58" s="4" t="s">
        <v>120</v>
      </c>
      <c r="I58" s="4" t="s">
        <v>11</v>
      </c>
      <c r="J58" s="4"/>
      <c r="K58" s="4" t="s">
        <v>442</v>
      </c>
      <c r="L58" s="6" t="s">
        <v>76</v>
      </c>
      <c r="M58" s="4" t="s">
        <v>14</v>
      </c>
    </row>
    <row r="59" spans="1:13" ht="15.5" x14ac:dyDescent="0.35">
      <c r="A59" s="13">
        <v>46076</v>
      </c>
      <c r="B59" s="4">
        <v>2026</v>
      </c>
      <c r="C59" s="15">
        <v>9</v>
      </c>
      <c r="D59" s="4" t="s">
        <v>121</v>
      </c>
      <c r="E59" s="4" t="s">
        <v>346</v>
      </c>
      <c r="F59" s="4" t="s">
        <v>353</v>
      </c>
      <c r="G59" s="4"/>
      <c r="H59" s="4" t="s">
        <v>122</v>
      </c>
      <c r="I59" s="4" t="s">
        <v>11</v>
      </c>
      <c r="J59" s="4"/>
      <c r="K59" s="4"/>
      <c r="L59" s="4" t="s">
        <v>13</v>
      </c>
      <c r="M59" s="4" t="s">
        <v>14</v>
      </c>
    </row>
    <row r="60" spans="1:13" ht="15.5" x14ac:dyDescent="0.35">
      <c r="A60" s="13">
        <v>46076</v>
      </c>
      <c r="B60" s="4">
        <v>2026</v>
      </c>
      <c r="C60" s="15">
        <v>9</v>
      </c>
      <c r="D60" s="4" t="s">
        <v>123</v>
      </c>
      <c r="E60" s="4" t="s">
        <v>346</v>
      </c>
      <c r="F60" s="4" t="s">
        <v>353</v>
      </c>
      <c r="G60" s="4"/>
      <c r="H60" s="4" t="s">
        <v>48</v>
      </c>
      <c r="I60" s="4" t="s">
        <v>28</v>
      </c>
      <c r="J60" s="4"/>
      <c r="K60" s="4" t="s">
        <v>442</v>
      </c>
      <c r="L60" s="6" t="s">
        <v>76</v>
      </c>
      <c r="M60" s="4" t="s">
        <v>14</v>
      </c>
    </row>
    <row r="61" spans="1:13" ht="15.5" x14ac:dyDescent="0.35">
      <c r="A61" s="13">
        <v>46076</v>
      </c>
      <c r="B61" s="4">
        <v>2026</v>
      </c>
      <c r="C61" s="15">
        <v>9</v>
      </c>
      <c r="D61" s="4" t="s">
        <v>124</v>
      </c>
      <c r="E61" s="4" t="s">
        <v>346</v>
      </c>
      <c r="F61" s="4" t="s">
        <v>353</v>
      </c>
      <c r="G61" s="4"/>
      <c r="H61" s="4" t="s">
        <v>41</v>
      </c>
      <c r="I61" s="4" t="s">
        <v>28</v>
      </c>
      <c r="J61" s="4" t="s">
        <v>125</v>
      </c>
      <c r="K61" s="4" t="s">
        <v>443</v>
      </c>
      <c r="L61" s="4" t="s">
        <v>13</v>
      </c>
      <c r="M61" s="4" t="s">
        <v>14</v>
      </c>
    </row>
    <row r="62" spans="1:13" ht="15.5" x14ac:dyDescent="0.35">
      <c r="A62" s="13">
        <v>46078</v>
      </c>
      <c r="B62" s="4">
        <v>2026</v>
      </c>
      <c r="C62" s="15">
        <v>9</v>
      </c>
      <c r="D62" s="4" t="s">
        <v>126</v>
      </c>
      <c r="E62" s="4" t="s">
        <v>346</v>
      </c>
      <c r="F62" s="4" t="s">
        <v>353</v>
      </c>
      <c r="G62" s="4"/>
      <c r="H62" s="4" t="s">
        <v>127</v>
      </c>
      <c r="I62" s="4" t="s">
        <v>28</v>
      </c>
      <c r="J62" s="4" t="s">
        <v>16</v>
      </c>
      <c r="K62" s="4" t="s">
        <v>442</v>
      </c>
      <c r="L62" s="4" t="s">
        <v>13</v>
      </c>
      <c r="M62" s="4" t="s">
        <v>14</v>
      </c>
    </row>
    <row r="63" spans="1:13" ht="15.5" x14ac:dyDescent="0.35">
      <c r="A63" s="13">
        <v>46079</v>
      </c>
      <c r="B63" s="4">
        <v>2026</v>
      </c>
      <c r="C63" s="15">
        <v>9</v>
      </c>
      <c r="D63" s="4" t="s">
        <v>128</v>
      </c>
      <c r="E63" s="4" t="s">
        <v>346</v>
      </c>
      <c r="F63" s="4" t="s">
        <v>353</v>
      </c>
      <c r="G63" s="4"/>
      <c r="H63" s="4" t="s">
        <v>71</v>
      </c>
      <c r="I63" s="4" t="s">
        <v>11</v>
      </c>
      <c r="J63" s="4"/>
      <c r="K63" s="4"/>
      <c r="L63" s="4" t="s">
        <v>13</v>
      </c>
      <c r="M63" s="4" t="s">
        <v>14</v>
      </c>
    </row>
    <row r="64" spans="1:13" ht="15.5" x14ac:dyDescent="0.35">
      <c r="A64" s="13">
        <v>46079</v>
      </c>
      <c r="B64" s="4">
        <v>2026</v>
      </c>
      <c r="C64" s="15">
        <v>9</v>
      </c>
      <c r="D64" s="4" t="s">
        <v>129</v>
      </c>
      <c r="E64" s="4" t="s">
        <v>346</v>
      </c>
      <c r="F64" s="4" t="s">
        <v>353</v>
      </c>
      <c r="G64" s="4"/>
      <c r="H64" s="4" t="s">
        <v>41</v>
      </c>
      <c r="I64" s="4" t="s">
        <v>11</v>
      </c>
      <c r="J64" s="4" t="s">
        <v>36</v>
      </c>
      <c r="K64" s="4" t="s">
        <v>442</v>
      </c>
      <c r="L64" s="4" t="s">
        <v>13</v>
      </c>
      <c r="M64" s="4" t="s">
        <v>14</v>
      </c>
    </row>
    <row r="65" spans="1:13" ht="15.5" x14ac:dyDescent="0.35">
      <c r="A65" s="13">
        <v>46080</v>
      </c>
      <c r="B65" s="4">
        <v>2026</v>
      </c>
      <c r="C65" s="15">
        <v>9</v>
      </c>
      <c r="D65" s="4" t="s">
        <v>130</v>
      </c>
      <c r="E65" s="4" t="s">
        <v>346</v>
      </c>
      <c r="F65" s="4" t="s">
        <v>353</v>
      </c>
      <c r="G65" s="4"/>
      <c r="H65" s="4" t="s">
        <v>38</v>
      </c>
      <c r="I65" s="4" t="s">
        <v>28</v>
      </c>
      <c r="J65" s="4" t="s">
        <v>19</v>
      </c>
      <c r="K65" s="4" t="s">
        <v>442</v>
      </c>
      <c r="L65" s="4" t="s">
        <v>13</v>
      </c>
      <c r="M65" s="4" t="s">
        <v>14</v>
      </c>
    </row>
    <row r="66" spans="1:13" ht="15.5" x14ac:dyDescent="0.35">
      <c r="A66" s="13">
        <v>46080</v>
      </c>
      <c r="B66" s="4">
        <v>2026</v>
      </c>
      <c r="C66" s="15">
        <v>9</v>
      </c>
      <c r="D66" s="4" t="s">
        <v>131</v>
      </c>
      <c r="E66" s="4" t="s">
        <v>346</v>
      </c>
      <c r="F66" s="4" t="s">
        <v>353</v>
      </c>
      <c r="G66" s="4"/>
      <c r="H66" s="4" t="s">
        <v>132</v>
      </c>
      <c r="I66" s="4" t="s">
        <v>11</v>
      </c>
      <c r="J66" s="4" t="s">
        <v>31</v>
      </c>
      <c r="K66" s="4" t="s">
        <v>442</v>
      </c>
      <c r="L66" s="4" t="s">
        <v>13</v>
      </c>
      <c r="M66" s="4" t="s">
        <v>14</v>
      </c>
    </row>
    <row r="67" spans="1:13" ht="15.5" x14ac:dyDescent="0.35">
      <c r="A67" s="13">
        <v>46080</v>
      </c>
      <c r="B67" s="4">
        <v>2026</v>
      </c>
      <c r="C67" s="15">
        <v>9</v>
      </c>
      <c r="D67" s="4" t="s">
        <v>133</v>
      </c>
      <c r="E67" s="4" t="s">
        <v>346</v>
      </c>
      <c r="F67" s="4" t="s">
        <v>353</v>
      </c>
      <c r="G67" s="4"/>
      <c r="H67" s="4" t="s">
        <v>18</v>
      </c>
      <c r="I67" s="4" t="s">
        <v>28</v>
      </c>
      <c r="J67" s="4"/>
      <c r="K67" s="4"/>
      <c r="L67" s="4" t="s">
        <v>13</v>
      </c>
      <c r="M67" s="4" t="s">
        <v>14</v>
      </c>
    </row>
    <row r="68" spans="1:13" ht="15.5" x14ac:dyDescent="0.35">
      <c r="A68" s="13">
        <v>46080</v>
      </c>
      <c r="B68" s="4">
        <v>2026</v>
      </c>
      <c r="C68" s="15">
        <v>9</v>
      </c>
      <c r="D68" s="4" t="s">
        <v>134</v>
      </c>
      <c r="E68" s="4" t="s">
        <v>346</v>
      </c>
      <c r="F68" s="4" t="s">
        <v>353</v>
      </c>
      <c r="G68" s="4"/>
      <c r="H68" s="4" t="s">
        <v>24</v>
      </c>
      <c r="I68" s="4" t="s">
        <v>11</v>
      </c>
      <c r="J68" s="4" t="s">
        <v>92</v>
      </c>
      <c r="K68" s="4" t="s">
        <v>442</v>
      </c>
      <c r="L68" s="4" t="s">
        <v>13</v>
      </c>
      <c r="M68" s="4" t="s">
        <v>14</v>
      </c>
    </row>
    <row r="69" spans="1:13" ht="15.5" x14ac:dyDescent="0.35">
      <c r="A69" s="13">
        <v>46083</v>
      </c>
      <c r="B69" s="4">
        <v>2026</v>
      </c>
      <c r="C69" s="15">
        <v>10</v>
      </c>
      <c r="D69" s="8" t="s">
        <v>135</v>
      </c>
      <c r="E69" s="4" t="s">
        <v>347</v>
      </c>
      <c r="F69" s="4" t="s">
        <v>354</v>
      </c>
      <c r="G69" s="4">
        <v>64</v>
      </c>
      <c r="H69" s="8" t="s">
        <v>38</v>
      </c>
      <c r="I69" s="8" t="s">
        <v>28</v>
      </c>
      <c r="J69" s="8" t="s">
        <v>19</v>
      </c>
      <c r="K69" s="4" t="s">
        <v>442</v>
      </c>
      <c r="L69" s="8" t="s">
        <v>13</v>
      </c>
      <c r="M69" s="4" t="s">
        <v>14</v>
      </c>
    </row>
    <row r="70" spans="1:13" ht="15.5" x14ac:dyDescent="0.35">
      <c r="A70" s="13">
        <v>46084</v>
      </c>
      <c r="B70" s="4">
        <v>2026</v>
      </c>
      <c r="C70" s="15">
        <v>10</v>
      </c>
      <c r="D70" s="8" t="s">
        <v>136</v>
      </c>
      <c r="E70" s="4" t="s">
        <v>347</v>
      </c>
      <c r="F70" s="4" t="s">
        <v>354</v>
      </c>
      <c r="G70" s="4"/>
      <c r="H70" s="8" t="s">
        <v>41</v>
      </c>
      <c r="I70" s="8" t="s">
        <v>28</v>
      </c>
      <c r="J70" s="8" t="s">
        <v>25</v>
      </c>
      <c r="K70" s="4" t="s">
        <v>443</v>
      </c>
      <c r="L70" s="8" t="s">
        <v>13</v>
      </c>
      <c r="M70" s="4" t="s">
        <v>14</v>
      </c>
    </row>
    <row r="71" spans="1:13" ht="15.5" x14ac:dyDescent="0.35">
      <c r="A71" s="13">
        <v>46084</v>
      </c>
      <c r="B71" s="4">
        <v>2026</v>
      </c>
      <c r="C71" s="15">
        <v>10</v>
      </c>
      <c r="D71" s="8" t="s">
        <v>137</v>
      </c>
      <c r="E71" s="4" t="s">
        <v>347</v>
      </c>
      <c r="F71" s="4" t="s">
        <v>354</v>
      </c>
      <c r="G71" s="4"/>
      <c r="H71" s="8" t="s">
        <v>41</v>
      </c>
      <c r="I71" s="8" t="s">
        <v>28</v>
      </c>
      <c r="J71" s="8" t="s">
        <v>19</v>
      </c>
      <c r="K71" s="4" t="s">
        <v>442</v>
      </c>
      <c r="L71" s="8" t="s">
        <v>13</v>
      </c>
      <c r="M71" s="4" t="s">
        <v>14</v>
      </c>
    </row>
    <row r="72" spans="1:13" ht="15.5" x14ac:dyDescent="0.35">
      <c r="A72" s="13">
        <v>46084</v>
      </c>
      <c r="B72" s="4">
        <v>2026</v>
      </c>
      <c r="C72" s="15">
        <v>10</v>
      </c>
      <c r="D72" s="8" t="s">
        <v>138</v>
      </c>
      <c r="E72" s="4" t="s">
        <v>347</v>
      </c>
      <c r="F72" s="4" t="s">
        <v>354</v>
      </c>
      <c r="G72" s="4"/>
      <c r="H72" s="8" t="s">
        <v>41</v>
      </c>
      <c r="I72" s="8" t="s">
        <v>28</v>
      </c>
      <c r="J72" s="8" t="s">
        <v>33</v>
      </c>
      <c r="K72" s="4" t="s">
        <v>442</v>
      </c>
      <c r="L72" s="8" t="s">
        <v>13</v>
      </c>
      <c r="M72" s="4" t="s">
        <v>14</v>
      </c>
    </row>
    <row r="73" spans="1:13" ht="15.5" x14ac:dyDescent="0.35">
      <c r="A73" s="13">
        <v>46084</v>
      </c>
      <c r="B73" s="4">
        <v>2026</v>
      </c>
      <c r="C73" s="15">
        <v>10</v>
      </c>
      <c r="D73" s="8" t="s">
        <v>139</v>
      </c>
      <c r="E73" s="4" t="s">
        <v>347</v>
      </c>
      <c r="F73" s="4" t="s">
        <v>354</v>
      </c>
      <c r="G73" s="4"/>
      <c r="H73" s="8" t="s">
        <v>41</v>
      </c>
      <c r="I73" s="8" t="s">
        <v>11</v>
      </c>
      <c r="J73" s="8" t="s">
        <v>12</v>
      </c>
      <c r="K73" s="4" t="s">
        <v>442</v>
      </c>
      <c r="L73" s="6" t="s">
        <v>140</v>
      </c>
      <c r="M73" s="4" t="s">
        <v>14</v>
      </c>
    </row>
    <row r="74" spans="1:13" ht="15.5" x14ac:dyDescent="0.35">
      <c r="A74" s="13">
        <v>46084</v>
      </c>
      <c r="B74" s="4">
        <v>2026</v>
      </c>
      <c r="C74" s="15">
        <v>10</v>
      </c>
      <c r="D74" s="8" t="s">
        <v>141</v>
      </c>
      <c r="E74" s="4" t="s">
        <v>347</v>
      </c>
      <c r="F74" s="4" t="s">
        <v>354</v>
      </c>
      <c r="G74" s="4"/>
      <c r="H74" s="8" t="s">
        <v>41</v>
      </c>
      <c r="I74" s="8" t="s">
        <v>11</v>
      </c>
      <c r="J74" s="8" t="s">
        <v>60</v>
      </c>
      <c r="K74" s="4" t="s">
        <v>442</v>
      </c>
      <c r="L74" s="8" t="s">
        <v>13</v>
      </c>
      <c r="M74" s="4" t="s">
        <v>14</v>
      </c>
    </row>
    <row r="75" spans="1:13" ht="15.5" x14ac:dyDescent="0.35">
      <c r="A75" s="13">
        <v>46084</v>
      </c>
      <c r="B75" s="4">
        <v>2026</v>
      </c>
      <c r="C75" s="15">
        <v>10</v>
      </c>
      <c r="D75" s="8" t="s">
        <v>142</v>
      </c>
      <c r="E75" s="4" t="s">
        <v>347</v>
      </c>
      <c r="F75" s="4" t="s">
        <v>354</v>
      </c>
      <c r="G75" s="4"/>
      <c r="H75" s="8" t="s">
        <v>111</v>
      </c>
      <c r="I75" s="8" t="s">
        <v>28</v>
      </c>
      <c r="J75" s="8" t="s">
        <v>143</v>
      </c>
      <c r="K75" s="4" t="s">
        <v>442</v>
      </c>
      <c r="L75" s="6" t="s">
        <v>76</v>
      </c>
      <c r="M75" s="4" t="s">
        <v>14</v>
      </c>
    </row>
    <row r="76" spans="1:13" ht="15.5" x14ac:dyDescent="0.35">
      <c r="A76" s="13">
        <v>46084</v>
      </c>
      <c r="B76" s="4">
        <v>2026</v>
      </c>
      <c r="C76" s="15">
        <v>10</v>
      </c>
      <c r="D76" s="8" t="s">
        <v>144</v>
      </c>
      <c r="E76" s="4" t="s">
        <v>347</v>
      </c>
      <c r="F76" s="4" t="s">
        <v>354</v>
      </c>
      <c r="G76" s="4"/>
      <c r="H76" s="8" t="s">
        <v>41</v>
      </c>
      <c r="I76" s="8" t="s">
        <v>28</v>
      </c>
      <c r="J76" s="8" t="s">
        <v>31</v>
      </c>
      <c r="K76" s="4" t="s">
        <v>442</v>
      </c>
      <c r="L76" s="8" t="s">
        <v>13</v>
      </c>
      <c r="M76" s="4" t="s">
        <v>14</v>
      </c>
    </row>
    <row r="77" spans="1:13" ht="15.5" x14ac:dyDescent="0.35">
      <c r="A77" s="13">
        <v>46084</v>
      </c>
      <c r="B77" s="4">
        <v>2026</v>
      </c>
      <c r="C77" s="15">
        <v>10</v>
      </c>
      <c r="D77" s="8" t="s">
        <v>145</v>
      </c>
      <c r="E77" s="4" t="s">
        <v>347</v>
      </c>
      <c r="F77" s="4" t="s">
        <v>354</v>
      </c>
      <c r="G77" s="4"/>
      <c r="H77" s="8" t="s">
        <v>120</v>
      </c>
      <c r="I77" s="8" t="s">
        <v>11</v>
      </c>
      <c r="J77" s="8" t="s">
        <v>49</v>
      </c>
      <c r="K77" s="4" t="s">
        <v>442</v>
      </c>
      <c r="L77" s="8" t="s">
        <v>13</v>
      </c>
      <c r="M77" s="4" t="s">
        <v>14</v>
      </c>
    </row>
    <row r="78" spans="1:13" ht="15.5" x14ac:dyDescent="0.35">
      <c r="A78" s="13">
        <v>46084</v>
      </c>
      <c r="B78" s="4">
        <v>2026</v>
      </c>
      <c r="C78" s="15">
        <v>10</v>
      </c>
      <c r="D78" s="8" t="s">
        <v>146</v>
      </c>
      <c r="E78" s="4" t="s">
        <v>347</v>
      </c>
      <c r="F78" s="4" t="s">
        <v>354</v>
      </c>
      <c r="G78" s="4"/>
      <c r="H78" s="8" t="s">
        <v>147</v>
      </c>
      <c r="I78" s="8" t="s">
        <v>28</v>
      </c>
      <c r="J78" s="8" t="s">
        <v>92</v>
      </c>
      <c r="K78" s="4" t="s">
        <v>442</v>
      </c>
      <c r="L78" s="8" t="s">
        <v>13</v>
      </c>
      <c r="M78" s="4" t="s">
        <v>14</v>
      </c>
    </row>
    <row r="79" spans="1:13" ht="15.5" x14ac:dyDescent="0.35">
      <c r="A79" s="13">
        <v>46085</v>
      </c>
      <c r="B79" s="4">
        <v>2026</v>
      </c>
      <c r="C79" s="15">
        <v>10</v>
      </c>
      <c r="D79" s="8" t="s">
        <v>148</v>
      </c>
      <c r="E79" s="4" t="s">
        <v>347</v>
      </c>
      <c r="F79" s="4" t="s">
        <v>354</v>
      </c>
      <c r="G79" s="4"/>
      <c r="H79" s="8" t="s">
        <v>45</v>
      </c>
      <c r="I79" s="8" t="s">
        <v>11</v>
      </c>
      <c r="J79" s="8" t="s">
        <v>92</v>
      </c>
      <c r="K79" s="4" t="s">
        <v>442</v>
      </c>
      <c r="L79" s="8" t="s">
        <v>13</v>
      </c>
      <c r="M79" s="4" t="s">
        <v>14</v>
      </c>
    </row>
    <row r="80" spans="1:13" ht="15.5" x14ac:dyDescent="0.35">
      <c r="A80" s="13">
        <v>46085</v>
      </c>
      <c r="B80" s="4">
        <v>2026</v>
      </c>
      <c r="C80" s="15">
        <v>10</v>
      </c>
      <c r="D80" s="8" t="s">
        <v>149</v>
      </c>
      <c r="E80" s="4" t="s">
        <v>347</v>
      </c>
      <c r="F80" s="4" t="s">
        <v>354</v>
      </c>
      <c r="G80" s="4"/>
      <c r="H80" s="8" t="s">
        <v>24</v>
      </c>
      <c r="I80" s="8" t="s">
        <v>11</v>
      </c>
      <c r="J80" s="8" t="s">
        <v>92</v>
      </c>
      <c r="K80" s="4" t="s">
        <v>442</v>
      </c>
      <c r="L80" s="6" t="s">
        <v>43</v>
      </c>
      <c r="M80" s="4" t="s">
        <v>14</v>
      </c>
    </row>
    <row r="81" spans="1:13" ht="15.5" x14ac:dyDescent="0.35">
      <c r="A81" s="13">
        <v>46086</v>
      </c>
      <c r="B81" s="4">
        <v>2026</v>
      </c>
      <c r="C81" s="15">
        <v>10</v>
      </c>
      <c r="D81" s="8" t="s">
        <v>150</v>
      </c>
      <c r="E81" s="4" t="s">
        <v>347</v>
      </c>
      <c r="F81" s="4" t="s">
        <v>354</v>
      </c>
      <c r="G81" s="4"/>
      <c r="H81" s="8" t="s">
        <v>111</v>
      </c>
      <c r="I81" s="8" t="s">
        <v>11</v>
      </c>
      <c r="J81" s="8" t="s">
        <v>49</v>
      </c>
      <c r="K81" s="4" t="s">
        <v>442</v>
      </c>
      <c r="L81" s="8" t="s">
        <v>13</v>
      </c>
      <c r="M81" s="4" t="s">
        <v>14</v>
      </c>
    </row>
    <row r="82" spans="1:13" ht="15.5" x14ac:dyDescent="0.35">
      <c r="A82" s="13">
        <v>46087</v>
      </c>
      <c r="B82" s="4">
        <v>2026</v>
      </c>
      <c r="C82" s="15">
        <v>10</v>
      </c>
      <c r="D82" s="8" t="s">
        <v>151</v>
      </c>
      <c r="E82" s="4" t="s">
        <v>347</v>
      </c>
      <c r="F82" s="4" t="s">
        <v>354</v>
      </c>
      <c r="G82" s="4"/>
      <c r="H82" s="8" t="s">
        <v>41</v>
      </c>
      <c r="I82" s="8" t="s">
        <v>28</v>
      </c>
      <c r="J82" s="8" t="s">
        <v>92</v>
      </c>
      <c r="K82" s="4" t="s">
        <v>442</v>
      </c>
      <c r="L82" s="8" t="s">
        <v>13</v>
      </c>
      <c r="M82" s="4" t="s">
        <v>14</v>
      </c>
    </row>
    <row r="83" spans="1:13" ht="15.5" x14ac:dyDescent="0.35">
      <c r="A83" s="13">
        <v>46087</v>
      </c>
      <c r="B83" s="4">
        <v>2026</v>
      </c>
      <c r="C83" s="15">
        <v>10</v>
      </c>
      <c r="D83" s="8" t="s">
        <v>152</v>
      </c>
      <c r="E83" s="4" t="s">
        <v>347</v>
      </c>
      <c r="F83" s="4" t="s">
        <v>354</v>
      </c>
      <c r="G83" s="4"/>
      <c r="H83" s="8" t="s">
        <v>41</v>
      </c>
      <c r="I83" s="8" t="s">
        <v>11</v>
      </c>
      <c r="J83" s="8" t="s">
        <v>31</v>
      </c>
      <c r="K83" s="4" t="s">
        <v>442</v>
      </c>
      <c r="L83" s="8" t="s">
        <v>13</v>
      </c>
      <c r="M83" s="4" t="s">
        <v>14</v>
      </c>
    </row>
    <row r="84" spans="1:13" ht="15.5" x14ac:dyDescent="0.35">
      <c r="A84" s="13">
        <v>46090</v>
      </c>
      <c r="B84" s="4">
        <v>2026</v>
      </c>
      <c r="C84" s="15">
        <v>11</v>
      </c>
      <c r="D84" s="8" t="s">
        <v>153</v>
      </c>
      <c r="E84" s="4" t="s">
        <v>347</v>
      </c>
      <c r="F84" s="4" t="s">
        <v>354</v>
      </c>
      <c r="G84" s="4"/>
      <c r="H84" s="8" t="s">
        <v>111</v>
      </c>
      <c r="I84" s="8" t="s">
        <v>28</v>
      </c>
      <c r="J84" s="8" t="s">
        <v>60</v>
      </c>
      <c r="K84" s="4" t="s">
        <v>442</v>
      </c>
      <c r="L84" s="8" t="s">
        <v>13</v>
      </c>
      <c r="M84" s="4" t="s">
        <v>14</v>
      </c>
    </row>
    <row r="85" spans="1:13" ht="15.5" x14ac:dyDescent="0.35">
      <c r="A85" s="13">
        <v>46093</v>
      </c>
      <c r="B85" s="4">
        <v>2026</v>
      </c>
      <c r="C85" s="15">
        <v>11</v>
      </c>
      <c r="D85" s="8" t="s">
        <v>154</v>
      </c>
      <c r="E85" s="4" t="s">
        <v>347</v>
      </c>
      <c r="F85" s="4" t="s">
        <v>354</v>
      </c>
      <c r="G85" s="4"/>
      <c r="H85" s="8" t="s">
        <v>10</v>
      </c>
      <c r="I85" s="8" t="s">
        <v>28</v>
      </c>
      <c r="J85" s="8" t="s">
        <v>92</v>
      </c>
      <c r="K85" s="4" t="s">
        <v>442</v>
      </c>
      <c r="L85" s="8" t="s">
        <v>13</v>
      </c>
      <c r="M85" s="4" t="s">
        <v>14</v>
      </c>
    </row>
    <row r="86" spans="1:13" ht="15.5" x14ac:dyDescent="0.35">
      <c r="A86" s="13">
        <v>46093</v>
      </c>
      <c r="B86" s="4">
        <v>2026</v>
      </c>
      <c r="C86" s="15">
        <v>11</v>
      </c>
      <c r="D86" s="8" t="s">
        <v>155</v>
      </c>
      <c r="E86" s="4" t="s">
        <v>347</v>
      </c>
      <c r="F86" s="4" t="s">
        <v>354</v>
      </c>
      <c r="G86" s="4"/>
      <c r="H86" s="8" t="s">
        <v>118</v>
      </c>
      <c r="I86" s="8" t="s">
        <v>28</v>
      </c>
      <c r="J86" s="8" t="s">
        <v>92</v>
      </c>
      <c r="K86" s="4" t="s">
        <v>442</v>
      </c>
      <c r="L86" s="8" t="s">
        <v>13</v>
      </c>
      <c r="M86" s="4" t="s">
        <v>14</v>
      </c>
    </row>
    <row r="87" spans="1:13" ht="15.5" x14ac:dyDescent="0.35">
      <c r="A87" s="13">
        <v>46093</v>
      </c>
      <c r="B87" s="4">
        <v>2026</v>
      </c>
      <c r="C87" s="15">
        <v>11</v>
      </c>
      <c r="D87" s="8" t="s">
        <v>156</v>
      </c>
      <c r="E87" s="4" t="s">
        <v>347</v>
      </c>
      <c r="F87" s="4" t="s">
        <v>354</v>
      </c>
      <c r="G87" s="4"/>
      <c r="H87" s="8" t="s">
        <v>38</v>
      </c>
      <c r="I87" s="8" t="s">
        <v>28</v>
      </c>
      <c r="J87" s="8" t="s">
        <v>33</v>
      </c>
      <c r="K87" s="4" t="s">
        <v>442</v>
      </c>
      <c r="L87" s="6" t="s">
        <v>140</v>
      </c>
      <c r="M87" s="4" t="s">
        <v>14</v>
      </c>
    </row>
    <row r="88" spans="1:13" ht="15.5" x14ac:dyDescent="0.35">
      <c r="A88" s="13">
        <v>46093</v>
      </c>
      <c r="B88" s="4">
        <v>2026</v>
      </c>
      <c r="C88" s="15">
        <v>11</v>
      </c>
      <c r="D88" s="8" t="s">
        <v>157</v>
      </c>
      <c r="E88" s="4" t="s">
        <v>347</v>
      </c>
      <c r="F88" s="4" t="s">
        <v>354</v>
      </c>
      <c r="G88" s="4"/>
      <c r="H88" s="8" t="s">
        <v>55</v>
      </c>
      <c r="I88" s="8" t="s">
        <v>28</v>
      </c>
      <c r="J88" s="8" t="s">
        <v>12</v>
      </c>
      <c r="K88" s="4" t="s">
        <v>442</v>
      </c>
      <c r="L88" s="8" t="s">
        <v>13</v>
      </c>
      <c r="M88" s="4" t="s">
        <v>14</v>
      </c>
    </row>
    <row r="89" spans="1:13" ht="15.5" x14ac:dyDescent="0.35">
      <c r="A89" s="13">
        <v>46093</v>
      </c>
      <c r="B89" s="4">
        <v>2026</v>
      </c>
      <c r="C89" s="15">
        <v>11</v>
      </c>
      <c r="D89" s="8" t="s">
        <v>158</v>
      </c>
      <c r="E89" s="4" t="s">
        <v>347</v>
      </c>
      <c r="F89" s="4" t="s">
        <v>354</v>
      </c>
      <c r="G89" s="4"/>
      <c r="H89" s="8" t="s">
        <v>41</v>
      </c>
      <c r="I89" s="8" t="s">
        <v>11</v>
      </c>
      <c r="J89" s="8" t="s">
        <v>87</v>
      </c>
      <c r="K89" s="4" t="s">
        <v>442</v>
      </c>
      <c r="L89" s="8" t="s">
        <v>13</v>
      </c>
      <c r="M89" s="4" t="s">
        <v>14</v>
      </c>
    </row>
    <row r="90" spans="1:13" ht="15.5" x14ac:dyDescent="0.35">
      <c r="A90" s="13">
        <v>46093</v>
      </c>
      <c r="B90" s="4">
        <v>2026</v>
      </c>
      <c r="C90" s="15">
        <v>11</v>
      </c>
      <c r="D90" s="8" t="s">
        <v>159</v>
      </c>
      <c r="E90" s="4" t="s">
        <v>347</v>
      </c>
      <c r="F90" s="4" t="s">
        <v>354</v>
      </c>
      <c r="G90" s="4"/>
      <c r="H90" s="8" t="s">
        <v>41</v>
      </c>
      <c r="I90" s="8" t="s">
        <v>28</v>
      </c>
      <c r="J90" s="8"/>
      <c r="K90" s="8"/>
      <c r="L90" s="8" t="s">
        <v>13</v>
      </c>
      <c r="M90" s="4" t="s">
        <v>14</v>
      </c>
    </row>
    <row r="91" spans="1:13" ht="15.5" x14ac:dyDescent="0.35">
      <c r="A91" s="13">
        <v>46093</v>
      </c>
      <c r="B91" s="4">
        <v>2026</v>
      </c>
      <c r="C91" s="15">
        <v>11</v>
      </c>
      <c r="D91" s="8" t="s">
        <v>160</v>
      </c>
      <c r="E91" s="4" t="s">
        <v>347</v>
      </c>
      <c r="F91" s="4" t="s">
        <v>354</v>
      </c>
      <c r="G91" s="4"/>
      <c r="H91" s="8" t="s">
        <v>71</v>
      </c>
      <c r="I91" s="8" t="s">
        <v>11</v>
      </c>
      <c r="J91" s="8" t="s">
        <v>12</v>
      </c>
      <c r="K91" s="4" t="s">
        <v>442</v>
      </c>
      <c r="L91" s="8" t="s">
        <v>13</v>
      </c>
      <c r="M91" s="4" t="s">
        <v>14</v>
      </c>
    </row>
    <row r="92" spans="1:13" ht="15.5" x14ac:dyDescent="0.35">
      <c r="A92" s="13">
        <v>46093</v>
      </c>
      <c r="B92" s="4">
        <v>2026</v>
      </c>
      <c r="C92" s="15">
        <v>11</v>
      </c>
      <c r="D92" s="8" t="s">
        <v>161</v>
      </c>
      <c r="E92" s="4" t="s">
        <v>347</v>
      </c>
      <c r="F92" s="4" t="s">
        <v>354</v>
      </c>
      <c r="G92" s="4"/>
      <c r="H92" s="8" t="s">
        <v>122</v>
      </c>
      <c r="I92" s="8" t="s">
        <v>11</v>
      </c>
      <c r="J92" s="8"/>
      <c r="K92" s="8"/>
      <c r="L92" s="8" t="s">
        <v>13</v>
      </c>
      <c r="M92" s="4" t="s">
        <v>14</v>
      </c>
    </row>
    <row r="93" spans="1:13" ht="15.5" x14ac:dyDescent="0.35">
      <c r="A93" s="13">
        <v>46093</v>
      </c>
      <c r="B93" s="4">
        <v>2026</v>
      </c>
      <c r="C93" s="15">
        <v>11</v>
      </c>
      <c r="D93" s="8" t="s">
        <v>162</v>
      </c>
      <c r="E93" s="4" t="s">
        <v>347</v>
      </c>
      <c r="F93" s="4" t="s">
        <v>354</v>
      </c>
      <c r="G93" s="4"/>
      <c r="H93" s="8" t="s">
        <v>163</v>
      </c>
      <c r="I93" s="8" t="s">
        <v>11</v>
      </c>
      <c r="J93" s="8" t="s">
        <v>19</v>
      </c>
      <c r="K93" s="4" t="s">
        <v>442</v>
      </c>
      <c r="L93" s="8" t="s">
        <v>13</v>
      </c>
      <c r="M93" s="4" t="s">
        <v>14</v>
      </c>
    </row>
    <row r="94" spans="1:13" ht="15.5" x14ac:dyDescent="0.35">
      <c r="A94" s="13">
        <v>46093</v>
      </c>
      <c r="B94" s="4">
        <v>2026</v>
      </c>
      <c r="C94" s="15">
        <v>11</v>
      </c>
      <c r="D94" s="8" t="s">
        <v>164</v>
      </c>
      <c r="E94" s="4" t="s">
        <v>347</v>
      </c>
      <c r="F94" s="4" t="s">
        <v>354</v>
      </c>
      <c r="G94" s="4"/>
      <c r="H94" s="8" t="s">
        <v>111</v>
      </c>
      <c r="I94" s="8" t="s">
        <v>11</v>
      </c>
      <c r="J94" s="8" t="s">
        <v>60</v>
      </c>
      <c r="K94" s="4" t="s">
        <v>442</v>
      </c>
      <c r="L94" s="8" t="s">
        <v>13</v>
      </c>
      <c r="M94" s="4" t="s">
        <v>14</v>
      </c>
    </row>
    <row r="95" spans="1:13" ht="15.5" x14ac:dyDescent="0.35">
      <c r="A95" s="13">
        <v>46093</v>
      </c>
      <c r="B95" s="4">
        <v>2026</v>
      </c>
      <c r="C95" s="15">
        <v>11</v>
      </c>
      <c r="D95" s="8" t="s">
        <v>165</v>
      </c>
      <c r="E95" s="4" t="s">
        <v>347</v>
      </c>
      <c r="F95" s="4" t="s">
        <v>354</v>
      </c>
      <c r="G95" s="4"/>
      <c r="H95" s="8" t="s">
        <v>27</v>
      </c>
      <c r="I95" s="8" t="s">
        <v>28</v>
      </c>
      <c r="J95" s="8" t="s">
        <v>166</v>
      </c>
      <c r="K95" s="4" t="s">
        <v>442</v>
      </c>
      <c r="L95" s="8" t="s">
        <v>13</v>
      </c>
      <c r="M95" s="4" t="s">
        <v>14</v>
      </c>
    </row>
    <row r="96" spans="1:13" ht="15.5" x14ac:dyDescent="0.35">
      <c r="A96" s="13">
        <v>46094</v>
      </c>
      <c r="B96" s="4">
        <v>2026</v>
      </c>
      <c r="C96" s="15">
        <v>11</v>
      </c>
      <c r="D96" s="8" t="s">
        <v>167</v>
      </c>
      <c r="E96" s="4" t="s">
        <v>347</v>
      </c>
      <c r="F96" s="4" t="s">
        <v>354</v>
      </c>
      <c r="G96" s="4"/>
      <c r="H96" s="8" t="s">
        <v>41</v>
      </c>
      <c r="I96" s="8" t="s">
        <v>11</v>
      </c>
      <c r="J96" s="8" t="s">
        <v>22</v>
      </c>
      <c r="K96" s="4" t="s">
        <v>442</v>
      </c>
      <c r="L96" s="8" t="s">
        <v>13</v>
      </c>
      <c r="M96" s="4" t="s">
        <v>14</v>
      </c>
    </row>
    <row r="97" spans="1:13" ht="15.5" x14ac:dyDescent="0.35">
      <c r="A97" s="13">
        <v>46094</v>
      </c>
      <c r="B97" s="4">
        <v>2026</v>
      </c>
      <c r="C97" s="15">
        <v>11</v>
      </c>
      <c r="D97" s="8" t="s">
        <v>168</v>
      </c>
      <c r="E97" s="4" t="s">
        <v>347</v>
      </c>
      <c r="F97" s="4" t="s">
        <v>354</v>
      </c>
      <c r="G97" s="4"/>
      <c r="H97" s="8" t="s">
        <v>38</v>
      </c>
      <c r="I97" s="8" t="s">
        <v>11</v>
      </c>
      <c r="J97" s="8" t="s">
        <v>51</v>
      </c>
      <c r="K97" s="4" t="s">
        <v>443</v>
      </c>
      <c r="L97" s="8" t="s">
        <v>13</v>
      </c>
      <c r="M97" s="4" t="s">
        <v>14</v>
      </c>
    </row>
    <row r="98" spans="1:13" ht="15.5" x14ac:dyDescent="0.35">
      <c r="A98" s="13">
        <v>46094</v>
      </c>
      <c r="B98" s="4">
        <v>2026</v>
      </c>
      <c r="C98" s="15">
        <v>11</v>
      </c>
      <c r="D98" s="8" t="s">
        <v>169</v>
      </c>
      <c r="E98" s="4" t="s">
        <v>347</v>
      </c>
      <c r="F98" s="4" t="s">
        <v>354</v>
      </c>
      <c r="G98" s="4"/>
      <c r="H98" s="8" t="s">
        <v>170</v>
      </c>
      <c r="I98" s="8" t="s">
        <v>11</v>
      </c>
      <c r="J98" s="8" t="s">
        <v>166</v>
      </c>
      <c r="K98" s="4" t="s">
        <v>442</v>
      </c>
      <c r="L98" s="8" t="s">
        <v>13</v>
      </c>
      <c r="M98" s="4" t="s">
        <v>14</v>
      </c>
    </row>
    <row r="99" spans="1:13" ht="15.5" x14ac:dyDescent="0.35">
      <c r="A99" s="13">
        <v>46094</v>
      </c>
      <c r="B99" s="4">
        <v>2026</v>
      </c>
      <c r="C99" s="15">
        <v>11</v>
      </c>
      <c r="D99" s="8" t="s">
        <v>171</v>
      </c>
      <c r="E99" s="4" t="s">
        <v>347</v>
      </c>
      <c r="F99" s="4" t="s">
        <v>354</v>
      </c>
      <c r="G99" s="4"/>
      <c r="H99" s="8" t="s">
        <v>170</v>
      </c>
      <c r="I99" s="8" t="s">
        <v>28</v>
      </c>
      <c r="J99" s="8" t="s">
        <v>166</v>
      </c>
      <c r="K99" s="4" t="s">
        <v>442</v>
      </c>
      <c r="L99" s="8" t="s">
        <v>13</v>
      </c>
      <c r="M99" s="4" t="s">
        <v>14</v>
      </c>
    </row>
    <row r="100" spans="1:13" ht="15.5" x14ac:dyDescent="0.35">
      <c r="A100" s="13">
        <v>46097</v>
      </c>
      <c r="B100" s="4">
        <v>2026</v>
      </c>
      <c r="C100" s="15">
        <v>12</v>
      </c>
      <c r="D100" s="8" t="s">
        <v>172</v>
      </c>
      <c r="E100" s="4" t="s">
        <v>347</v>
      </c>
      <c r="F100" s="4" t="s">
        <v>354</v>
      </c>
      <c r="G100" s="4"/>
      <c r="H100" s="8" t="s">
        <v>163</v>
      </c>
      <c r="I100" s="8" t="s">
        <v>11</v>
      </c>
      <c r="J100" s="8" t="s">
        <v>173</v>
      </c>
      <c r="K100" s="4" t="s">
        <v>442</v>
      </c>
      <c r="L100" s="8" t="s">
        <v>13</v>
      </c>
      <c r="M100" s="4" t="s">
        <v>14</v>
      </c>
    </row>
    <row r="101" spans="1:13" ht="15.5" x14ac:dyDescent="0.35">
      <c r="A101" s="13">
        <v>46098</v>
      </c>
      <c r="B101" s="4">
        <v>2026</v>
      </c>
      <c r="C101" s="15">
        <v>12</v>
      </c>
      <c r="D101" s="8" t="s">
        <v>174</v>
      </c>
      <c r="E101" s="4" t="s">
        <v>347</v>
      </c>
      <c r="F101" s="4" t="s">
        <v>354</v>
      </c>
      <c r="G101" s="4"/>
      <c r="H101" s="8" t="s">
        <v>41</v>
      </c>
      <c r="I101" s="8" t="s">
        <v>28</v>
      </c>
      <c r="J101" s="8" t="s">
        <v>33</v>
      </c>
      <c r="K101" s="4" t="s">
        <v>442</v>
      </c>
      <c r="L101" s="8" t="s">
        <v>13</v>
      </c>
      <c r="M101" s="4" t="s">
        <v>14</v>
      </c>
    </row>
    <row r="102" spans="1:13" ht="15.5" x14ac:dyDescent="0.35">
      <c r="A102" s="13">
        <v>46098</v>
      </c>
      <c r="B102" s="4">
        <v>2026</v>
      </c>
      <c r="C102" s="15">
        <v>12</v>
      </c>
      <c r="D102" s="8" t="s">
        <v>175</v>
      </c>
      <c r="E102" s="4" t="s">
        <v>347</v>
      </c>
      <c r="F102" s="4" t="s">
        <v>354</v>
      </c>
      <c r="G102" s="4"/>
      <c r="H102" s="8" t="s">
        <v>10</v>
      </c>
      <c r="I102" s="8" t="s">
        <v>11</v>
      </c>
      <c r="J102" s="8" t="s">
        <v>19</v>
      </c>
      <c r="K102" s="4" t="s">
        <v>442</v>
      </c>
      <c r="L102" s="8" t="s">
        <v>13</v>
      </c>
      <c r="M102" s="4" t="s">
        <v>14</v>
      </c>
    </row>
    <row r="103" spans="1:13" ht="15.5" x14ac:dyDescent="0.35">
      <c r="A103" s="13">
        <v>46099</v>
      </c>
      <c r="B103" s="4">
        <v>2026</v>
      </c>
      <c r="C103" s="15">
        <v>12</v>
      </c>
      <c r="D103" s="8" t="s">
        <v>176</v>
      </c>
      <c r="E103" s="4" t="s">
        <v>347</v>
      </c>
      <c r="F103" s="4" t="s">
        <v>354</v>
      </c>
      <c r="G103" s="4"/>
      <c r="H103" s="8" t="s">
        <v>163</v>
      </c>
      <c r="I103" s="8" t="s">
        <v>28</v>
      </c>
      <c r="J103" s="8" t="s">
        <v>42</v>
      </c>
      <c r="K103" s="4" t="s">
        <v>442</v>
      </c>
      <c r="L103" s="8" t="s">
        <v>13</v>
      </c>
      <c r="M103" s="4" t="s">
        <v>14</v>
      </c>
    </row>
    <row r="104" spans="1:13" ht="15.5" x14ac:dyDescent="0.35">
      <c r="A104" s="13">
        <v>46099</v>
      </c>
      <c r="B104" s="4">
        <v>2026</v>
      </c>
      <c r="C104" s="15">
        <v>12</v>
      </c>
      <c r="D104" s="8" t="s">
        <v>177</v>
      </c>
      <c r="E104" s="4" t="s">
        <v>347</v>
      </c>
      <c r="F104" s="4" t="s">
        <v>354</v>
      </c>
      <c r="G104" s="4"/>
      <c r="H104" s="8" t="s">
        <v>178</v>
      </c>
      <c r="I104" s="8" t="s">
        <v>28</v>
      </c>
      <c r="J104" s="8" t="s">
        <v>49</v>
      </c>
      <c r="K104" s="4" t="s">
        <v>442</v>
      </c>
      <c r="L104" s="8" t="s">
        <v>13</v>
      </c>
      <c r="M104" s="4" t="s">
        <v>14</v>
      </c>
    </row>
    <row r="105" spans="1:13" ht="15.5" x14ac:dyDescent="0.35">
      <c r="A105" s="13">
        <v>46099</v>
      </c>
      <c r="B105" s="4">
        <v>2026</v>
      </c>
      <c r="C105" s="15">
        <v>12</v>
      </c>
      <c r="D105" s="8" t="s">
        <v>179</v>
      </c>
      <c r="E105" s="4" t="s">
        <v>347</v>
      </c>
      <c r="F105" s="4" t="s">
        <v>354</v>
      </c>
      <c r="G105" s="4"/>
      <c r="H105" s="8" t="s">
        <v>67</v>
      </c>
      <c r="I105" s="8" t="s">
        <v>28</v>
      </c>
      <c r="J105" s="8" t="s">
        <v>31</v>
      </c>
      <c r="K105" s="4" t="s">
        <v>442</v>
      </c>
      <c r="L105" s="8" t="s">
        <v>13</v>
      </c>
      <c r="M105" s="4" t="s">
        <v>14</v>
      </c>
    </row>
    <row r="106" spans="1:13" ht="15.5" x14ac:dyDescent="0.35">
      <c r="A106" s="13">
        <v>46099</v>
      </c>
      <c r="B106" s="4">
        <v>2026</v>
      </c>
      <c r="C106" s="15">
        <v>12</v>
      </c>
      <c r="D106" s="8" t="s">
        <v>180</v>
      </c>
      <c r="E106" s="4" t="s">
        <v>347</v>
      </c>
      <c r="F106" s="4" t="s">
        <v>354</v>
      </c>
      <c r="G106" s="4"/>
      <c r="H106" s="8" t="s">
        <v>113</v>
      </c>
      <c r="I106" s="8" t="s">
        <v>28</v>
      </c>
      <c r="J106" s="8" t="s">
        <v>173</v>
      </c>
      <c r="K106" s="4" t="s">
        <v>442</v>
      </c>
      <c r="L106" s="6" t="s">
        <v>43</v>
      </c>
      <c r="M106" s="4" t="s">
        <v>14</v>
      </c>
    </row>
    <row r="107" spans="1:13" ht="15.5" x14ac:dyDescent="0.35">
      <c r="A107" s="13">
        <v>46099</v>
      </c>
      <c r="B107" s="4">
        <v>2026</v>
      </c>
      <c r="C107" s="15">
        <v>12</v>
      </c>
      <c r="D107" s="8" t="s">
        <v>181</v>
      </c>
      <c r="E107" s="4" t="s">
        <v>347</v>
      </c>
      <c r="F107" s="4" t="s">
        <v>354</v>
      </c>
      <c r="G107" s="4"/>
      <c r="H107" s="8" t="s">
        <v>45</v>
      </c>
      <c r="I107" s="8" t="s">
        <v>11</v>
      </c>
      <c r="J107" s="8" t="s">
        <v>31</v>
      </c>
      <c r="K107" s="4" t="s">
        <v>442</v>
      </c>
      <c r="L107" s="8" t="s">
        <v>13</v>
      </c>
      <c r="M107" s="4" t="s">
        <v>14</v>
      </c>
    </row>
    <row r="108" spans="1:13" ht="15.5" x14ac:dyDescent="0.35">
      <c r="A108" s="13">
        <v>46099</v>
      </c>
      <c r="B108" s="4">
        <v>2026</v>
      </c>
      <c r="C108" s="15">
        <v>12</v>
      </c>
      <c r="D108" s="8" t="s">
        <v>182</v>
      </c>
      <c r="E108" s="4" t="s">
        <v>347</v>
      </c>
      <c r="F108" s="4" t="s">
        <v>354</v>
      </c>
      <c r="G108" s="4"/>
      <c r="H108" s="8" t="s">
        <v>24</v>
      </c>
      <c r="I108" s="8" t="s">
        <v>11</v>
      </c>
      <c r="J108" s="8" t="s">
        <v>92</v>
      </c>
      <c r="K108" s="4" t="s">
        <v>442</v>
      </c>
      <c r="L108" s="8" t="s">
        <v>13</v>
      </c>
      <c r="M108" s="4" t="s">
        <v>14</v>
      </c>
    </row>
    <row r="109" spans="1:13" ht="15.5" x14ac:dyDescent="0.35">
      <c r="A109" s="13">
        <v>46100</v>
      </c>
      <c r="B109" s="4">
        <v>2026</v>
      </c>
      <c r="C109" s="15">
        <v>12</v>
      </c>
      <c r="D109" s="8" t="s">
        <v>183</v>
      </c>
      <c r="E109" s="4" t="s">
        <v>347</v>
      </c>
      <c r="F109" s="4" t="s">
        <v>354</v>
      </c>
      <c r="G109" s="4"/>
      <c r="H109" s="8" t="s">
        <v>41</v>
      </c>
      <c r="I109" s="8" t="s">
        <v>11</v>
      </c>
      <c r="J109" s="8" t="s">
        <v>49</v>
      </c>
      <c r="K109" s="4" t="s">
        <v>442</v>
      </c>
      <c r="L109" s="6" t="s">
        <v>140</v>
      </c>
      <c r="M109" s="4" t="s">
        <v>14</v>
      </c>
    </row>
    <row r="110" spans="1:13" ht="15.5" x14ac:dyDescent="0.35">
      <c r="A110" s="13">
        <v>46101</v>
      </c>
      <c r="B110" s="4">
        <v>2026</v>
      </c>
      <c r="C110" s="15">
        <v>12</v>
      </c>
      <c r="D110" s="8" t="s">
        <v>184</v>
      </c>
      <c r="E110" s="4" t="s">
        <v>347</v>
      </c>
      <c r="F110" s="4" t="s">
        <v>354</v>
      </c>
      <c r="G110" s="4"/>
      <c r="H110" s="8" t="s">
        <v>41</v>
      </c>
      <c r="I110" s="8" t="s">
        <v>11</v>
      </c>
      <c r="J110" s="8" t="s">
        <v>185</v>
      </c>
      <c r="K110" s="4" t="s">
        <v>442</v>
      </c>
      <c r="L110" s="8" t="s">
        <v>13</v>
      </c>
      <c r="M110" s="4" t="s">
        <v>14</v>
      </c>
    </row>
    <row r="111" spans="1:13" ht="15.5" x14ac:dyDescent="0.35">
      <c r="A111" s="13">
        <v>46104</v>
      </c>
      <c r="B111" s="4">
        <v>2026</v>
      </c>
      <c r="C111" s="15">
        <v>13</v>
      </c>
      <c r="D111" s="8" t="s">
        <v>186</v>
      </c>
      <c r="E111" s="4" t="s">
        <v>347</v>
      </c>
      <c r="F111" s="4" t="s">
        <v>354</v>
      </c>
      <c r="G111" s="4"/>
      <c r="H111" s="8" t="s">
        <v>41</v>
      </c>
      <c r="I111" s="8" t="s">
        <v>11</v>
      </c>
      <c r="J111" s="8" t="s">
        <v>187</v>
      </c>
      <c r="K111" s="4" t="s">
        <v>442</v>
      </c>
      <c r="L111" s="8" t="s">
        <v>13</v>
      </c>
      <c r="M111" s="4" t="s">
        <v>14</v>
      </c>
    </row>
    <row r="112" spans="1:13" ht="15.5" x14ac:dyDescent="0.35">
      <c r="A112" s="13">
        <v>46104</v>
      </c>
      <c r="B112" s="4">
        <v>2026</v>
      </c>
      <c r="C112" s="15">
        <v>13</v>
      </c>
      <c r="D112" s="8" t="s">
        <v>188</v>
      </c>
      <c r="E112" s="4" t="s">
        <v>347</v>
      </c>
      <c r="F112" s="4" t="s">
        <v>354</v>
      </c>
      <c r="G112" s="4"/>
      <c r="H112" s="8" t="s">
        <v>111</v>
      </c>
      <c r="I112" s="8" t="s">
        <v>11</v>
      </c>
      <c r="J112" s="8" t="s">
        <v>33</v>
      </c>
      <c r="K112" s="4" t="s">
        <v>442</v>
      </c>
      <c r="L112" s="8" t="s">
        <v>13</v>
      </c>
      <c r="M112" s="4" t="s">
        <v>14</v>
      </c>
    </row>
    <row r="113" spans="1:13" ht="15.5" x14ac:dyDescent="0.35">
      <c r="A113" s="13">
        <v>46104</v>
      </c>
      <c r="B113" s="4">
        <v>2026</v>
      </c>
      <c r="C113" s="15">
        <v>13</v>
      </c>
      <c r="D113" s="8" t="s">
        <v>189</v>
      </c>
      <c r="E113" s="4" t="s">
        <v>347</v>
      </c>
      <c r="F113" s="4" t="s">
        <v>354</v>
      </c>
      <c r="G113" s="4"/>
      <c r="H113" s="8" t="s">
        <v>41</v>
      </c>
      <c r="I113" s="8" t="s">
        <v>11</v>
      </c>
      <c r="J113" s="8" t="s">
        <v>22</v>
      </c>
      <c r="K113" s="4" t="s">
        <v>442</v>
      </c>
      <c r="L113" s="8" t="s">
        <v>13</v>
      </c>
      <c r="M113" s="4" t="s">
        <v>14</v>
      </c>
    </row>
    <row r="114" spans="1:13" ht="15.5" x14ac:dyDescent="0.35">
      <c r="A114" s="13">
        <v>46104</v>
      </c>
      <c r="B114" s="4">
        <v>2026</v>
      </c>
      <c r="C114" s="15">
        <v>13</v>
      </c>
      <c r="D114" s="8" t="s">
        <v>190</v>
      </c>
      <c r="E114" s="4" t="s">
        <v>347</v>
      </c>
      <c r="F114" s="4" t="s">
        <v>354</v>
      </c>
      <c r="G114" s="4"/>
      <c r="H114" s="8" t="s">
        <v>41</v>
      </c>
      <c r="I114" s="8" t="s">
        <v>28</v>
      </c>
      <c r="J114" s="8" t="s">
        <v>166</v>
      </c>
      <c r="K114" s="4" t="s">
        <v>442</v>
      </c>
      <c r="L114" s="8" t="s">
        <v>13</v>
      </c>
      <c r="M114" s="4" t="s">
        <v>14</v>
      </c>
    </row>
    <row r="115" spans="1:13" ht="15.5" x14ac:dyDescent="0.35">
      <c r="A115" s="13">
        <v>46105</v>
      </c>
      <c r="B115" s="4">
        <v>2026</v>
      </c>
      <c r="C115" s="15">
        <v>13</v>
      </c>
      <c r="D115" s="8" t="s">
        <v>191</v>
      </c>
      <c r="E115" s="4" t="s">
        <v>347</v>
      </c>
      <c r="F115" s="4" t="s">
        <v>354</v>
      </c>
      <c r="G115" s="4"/>
      <c r="H115" s="8" t="s">
        <v>41</v>
      </c>
      <c r="I115" s="8" t="s">
        <v>11</v>
      </c>
      <c r="J115" s="8" t="s">
        <v>192</v>
      </c>
      <c r="K115" s="4" t="s">
        <v>442</v>
      </c>
      <c r="L115" s="6" t="s">
        <v>76</v>
      </c>
      <c r="M115" s="4" t="s">
        <v>14</v>
      </c>
    </row>
    <row r="116" spans="1:13" ht="15.5" x14ac:dyDescent="0.35">
      <c r="A116" s="13">
        <v>46105</v>
      </c>
      <c r="B116" s="4">
        <v>2026</v>
      </c>
      <c r="C116" s="15">
        <v>13</v>
      </c>
      <c r="D116" s="8" t="s">
        <v>193</v>
      </c>
      <c r="E116" s="4" t="s">
        <v>347</v>
      </c>
      <c r="F116" s="4" t="s">
        <v>354</v>
      </c>
      <c r="G116" s="4"/>
      <c r="H116" s="8" t="s">
        <v>45</v>
      </c>
      <c r="I116" s="8" t="s">
        <v>11</v>
      </c>
      <c r="J116" s="8" t="s">
        <v>166</v>
      </c>
      <c r="K116" s="4" t="s">
        <v>442</v>
      </c>
      <c r="L116" s="8" t="s">
        <v>13</v>
      </c>
      <c r="M116" s="4" t="s">
        <v>14</v>
      </c>
    </row>
    <row r="117" spans="1:13" ht="15.5" x14ac:dyDescent="0.35">
      <c r="A117" s="13">
        <v>46105</v>
      </c>
      <c r="B117" s="4">
        <v>2026</v>
      </c>
      <c r="C117" s="15">
        <v>13</v>
      </c>
      <c r="D117" s="8" t="s">
        <v>194</v>
      </c>
      <c r="E117" s="4" t="s">
        <v>347</v>
      </c>
      <c r="F117" s="4" t="s">
        <v>354</v>
      </c>
      <c r="G117" s="4"/>
      <c r="H117" s="8" t="s">
        <v>195</v>
      </c>
      <c r="I117" s="8" t="s">
        <v>28</v>
      </c>
      <c r="J117" s="8" t="s">
        <v>166</v>
      </c>
      <c r="K117" s="4" t="s">
        <v>442</v>
      </c>
      <c r="L117" s="6" t="s">
        <v>76</v>
      </c>
      <c r="M117" s="4" t="s">
        <v>14</v>
      </c>
    </row>
    <row r="118" spans="1:13" ht="15.5" x14ac:dyDescent="0.35">
      <c r="A118" s="13">
        <v>46106</v>
      </c>
      <c r="B118" s="4">
        <v>2026</v>
      </c>
      <c r="C118" s="15">
        <v>13</v>
      </c>
      <c r="D118" s="8" t="s">
        <v>196</v>
      </c>
      <c r="E118" s="4" t="s">
        <v>347</v>
      </c>
      <c r="F118" s="4" t="s">
        <v>354</v>
      </c>
      <c r="G118" s="4"/>
      <c r="H118" s="8" t="s">
        <v>41</v>
      </c>
      <c r="I118" s="8" t="s">
        <v>11</v>
      </c>
      <c r="J118" s="8" t="s">
        <v>185</v>
      </c>
      <c r="K118" s="4" t="s">
        <v>442</v>
      </c>
      <c r="L118" s="8" t="s">
        <v>13</v>
      </c>
      <c r="M118" s="4" t="s">
        <v>14</v>
      </c>
    </row>
    <row r="119" spans="1:13" ht="15.5" x14ac:dyDescent="0.35">
      <c r="A119" s="13">
        <v>46106</v>
      </c>
      <c r="B119" s="4">
        <v>2026</v>
      </c>
      <c r="C119" s="15">
        <v>13</v>
      </c>
      <c r="D119" s="8" t="s">
        <v>197</v>
      </c>
      <c r="E119" s="4" t="s">
        <v>347</v>
      </c>
      <c r="F119" s="4" t="s">
        <v>354</v>
      </c>
      <c r="G119" s="4"/>
      <c r="H119" s="8" t="s">
        <v>41</v>
      </c>
      <c r="I119" s="8" t="s">
        <v>11</v>
      </c>
      <c r="J119" s="8" t="s">
        <v>16</v>
      </c>
      <c r="K119" s="4" t="s">
        <v>442</v>
      </c>
      <c r="L119" s="6" t="s">
        <v>107</v>
      </c>
      <c r="M119" s="4" t="s">
        <v>14</v>
      </c>
    </row>
    <row r="120" spans="1:13" ht="15.5" x14ac:dyDescent="0.35">
      <c r="A120" s="13">
        <v>46108</v>
      </c>
      <c r="B120" s="4">
        <v>2026</v>
      </c>
      <c r="C120" s="15">
        <v>13</v>
      </c>
      <c r="D120" s="8" t="s">
        <v>198</v>
      </c>
      <c r="E120" s="4" t="s">
        <v>347</v>
      </c>
      <c r="F120" s="4" t="s">
        <v>354</v>
      </c>
      <c r="G120" s="4"/>
      <c r="H120" s="8" t="s">
        <v>199</v>
      </c>
      <c r="I120" s="8" t="s">
        <v>11</v>
      </c>
      <c r="J120" s="8" t="s">
        <v>84</v>
      </c>
      <c r="K120" s="4" t="s">
        <v>442</v>
      </c>
      <c r="L120" s="8" t="s">
        <v>13</v>
      </c>
      <c r="M120" s="4" t="s">
        <v>14</v>
      </c>
    </row>
    <row r="121" spans="1:13" ht="15.5" x14ac:dyDescent="0.35">
      <c r="A121" s="13">
        <v>46108</v>
      </c>
      <c r="B121" s="4">
        <v>2026</v>
      </c>
      <c r="C121" s="15">
        <v>13</v>
      </c>
      <c r="D121" s="8" t="s">
        <v>200</v>
      </c>
      <c r="E121" s="4" t="s">
        <v>347</v>
      </c>
      <c r="F121" s="4" t="s">
        <v>354</v>
      </c>
      <c r="G121" s="4"/>
      <c r="H121" s="8" t="s">
        <v>163</v>
      </c>
      <c r="I121" s="8" t="s">
        <v>11</v>
      </c>
      <c r="J121" s="8" t="s">
        <v>166</v>
      </c>
      <c r="K121" s="4" t="s">
        <v>442</v>
      </c>
      <c r="L121" s="8" t="s">
        <v>13</v>
      </c>
      <c r="M121" s="4" t="s">
        <v>14</v>
      </c>
    </row>
    <row r="122" spans="1:13" ht="15.5" x14ac:dyDescent="0.35">
      <c r="A122" s="13">
        <v>46108</v>
      </c>
      <c r="B122" s="4">
        <v>2026</v>
      </c>
      <c r="C122" s="15">
        <v>13</v>
      </c>
      <c r="D122" s="8" t="s">
        <v>201</v>
      </c>
      <c r="E122" s="4" t="s">
        <v>347</v>
      </c>
      <c r="F122" s="4" t="s">
        <v>354</v>
      </c>
      <c r="G122" s="4"/>
      <c r="H122" s="8" t="s">
        <v>41</v>
      </c>
      <c r="I122" s="8" t="s">
        <v>11</v>
      </c>
      <c r="J122" s="8" t="s">
        <v>12</v>
      </c>
      <c r="K122" s="4" t="s">
        <v>442</v>
      </c>
      <c r="L122" s="8" t="s">
        <v>13</v>
      </c>
      <c r="M122" s="4" t="s">
        <v>14</v>
      </c>
    </row>
    <row r="123" spans="1:13" ht="15.5" x14ac:dyDescent="0.35">
      <c r="A123" s="13">
        <v>46108</v>
      </c>
      <c r="B123" s="4">
        <v>2026</v>
      </c>
      <c r="C123" s="15">
        <v>13</v>
      </c>
      <c r="D123" s="8" t="s">
        <v>202</v>
      </c>
      <c r="E123" s="4" t="s">
        <v>347</v>
      </c>
      <c r="F123" s="4" t="s">
        <v>354</v>
      </c>
      <c r="G123" s="4"/>
      <c r="H123" s="8" t="s">
        <v>41</v>
      </c>
      <c r="I123" s="8" t="s">
        <v>28</v>
      </c>
      <c r="J123" s="8" t="s">
        <v>203</v>
      </c>
      <c r="K123" s="4" t="s">
        <v>443</v>
      </c>
      <c r="L123" s="8" t="s">
        <v>13</v>
      </c>
      <c r="M123" s="4" t="s">
        <v>14</v>
      </c>
    </row>
    <row r="124" spans="1:13" ht="17" x14ac:dyDescent="0.5">
      <c r="A124" s="13">
        <v>46108</v>
      </c>
      <c r="B124" s="4">
        <v>2026</v>
      </c>
      <c r="C124" s="15">
        <v>13</v>
      </c>
      <c r="D124" s="8" t="s">
        <v>204</v>
      </c>
      <c r="E124" s="4" t="s">
        <v>347</v>
      </c>
      <c r="F124" s="4" t="s">
        <v>354</v>
      </c>
      <c r="G124" s="4"/>
      <c r="H124" s="8" t="s">
        <v>41</v>
      </c>
      <c r="I124" s="8" t="s">
        <v>11</v>
      </c>
      <c r="J124" s="8" t="s">
        <v>42</v>
      </c>
      <c r="K124" s="4" t="s">
        <v>442</v>
      </c>
      <c r="L124" s="9" t="s">
        <v>140</v>
      </c>
      <c r="M124" s="4" t="s">
        <v>14</v>
      </c>
    </row>
    <row r="125" spans="1:13" ht="15.5" x14ac:dyDescent="0.35">
      <c r="A125" s="13">
        <v>46108</v>
      </c>
      <c r="B125" s="4">
        <v>2026</v>
      </c>
      <c r="C125" s="15">
        <v>13</v>
      </c>
      <c r="D125" s="8" t="s">
        <v>205</v>
      </c>
      <c r="E125" s="4" t="s">
        <v>347</v>
      </c>
      <c r="F125" s="4" t="s">
        <v>354</v>
      </c>
      <c r="G125" s="4"/>
      <c r="H125" s="8" t="s">
        <v>41</v>
      </c>
      <c r="I125" s="8" t="s">
        <v>11</v>
      </c>
      <c r="J125" s="8" t="s">
        <v>49</v>
      </c>
      <c r="K125" s="4" t="s">
        <v>442</v>
      </c>
      <c r="L125" s="8" t="s">
        <v>13</v>
      </c>
      <c r="M125" s="4" t="s">
        <v>14</v>
      </c>
    </row>
    <row r="126" spans="1:13" ht="15.5" x14ac:dyDescent="0.35">
      <c r="A126" s="13">
        <v>46111</v>
      </c>
      <c r="B126" s="4">
        <v>2026</v>
      </c>
      <c r="C126" s="15">
        <v>14</v>
      </c>
      <c r="D126" s="8" t="s">
        <v>206</v>
      </c>
      <c r="E126" s="4" t="s">
        <v>347</v>
      </c>
      <c r="F126" s="4" t="s">
        <v>354</v>
      </c>
      <c r="G126" s="4"/>
      <c r="H126" s="8" t="s">
        <v>207</v>
      </c>
      <c r="I126" s="8" t="s">
        <v>28</v>
      </c>
      <c r="J126" s="8"/>
      <c r="K126" s="8"/>
      <c r="L126" s="8" t="s">
        <v>13</v>
      </c>
      <c r="M126" s="4" t="s">
        <v>14</v>
      </c>
    </row>
    <row r="127" spans="1:13" ht="15.5" x14ac:dyDescent="0.35">
      <c r="A127" s="13">
        <v>46111</v>
      </c>
      <c r="B127" s="4">
        <v>2026</v>
      </c>
      <c r="C127" s="15">
        <v>14</v>
      </c>
      <c r="D127" s="8" t="s">
        <v>208</v>
      </c>
      <c r="E127" s="4" t="s">
        <v>347</v>
      </c>
      <c r="F127" s="4" t="s">
        <v>354</v>
      </c>
      <c r="G127" s="4"/>
      <c r="H127" s="8" t="s">
        <v>74</v>
      </c>
      <c r="I127" s="8" t="s">
        <v>11</v>
      </c>
      <c r="J127" s="8" t="s">
        <v>39</v>
      </c>
      <c r="K127" s="4" t="s">
        <v>443</v>
      </c>
      <c r="L127" s="8" t="s">
        <v>13</v>
      </c>
      <c r="M127" s="4" t="s">
        <v>14</v>
      </c>
    </row>
    <row r="128" spans="1:13" ht="15.5" x14ac:dyDescent="0.35">
      <c r="A128" s="13">
        <v>46114</v>
      </c>
      <c r="B128" s="4">
        <v>2026</v>
      </c>
      <c r="C128" s="15">
        <v>14</v>
      </c>
      <c r="D128" s="8" t="s">
        <v>209</v>
      </c>
      <c r="E128" s="4" t="s">
        <v>348</v>
      </c>
      <c r="F128" s="4" t="s">
        <v>355</v>
      </c>
      <c r="G128" s="4">
        <v>61</v>
      </c>
      <c r="H128" s="8" t="s">
        <v>67</v>
      </c>
      <c r="I128" s="8" t="s">
        <v>28</v>
      </c>
      <c r="J128" s="8" t="s">
        <v>31</v>
      </c>
      <c r="K128" s="4" t="s">
        <v>442</v>
      </c>
      <c r="L128" s="8" t="s">
        <v>13</v>
      </c>
      <c r="M128" s="4" t="s">
        <v>14</v>
      </c>
    </row>
    <row r="129" spans="1:13" ht="15.5" x14ac:dyDescent="0.35">
      <c r="A129" s="13">
        <v>46114</v>
      </c>
      <c r="B129" s="4">
        <v>2026</v>
      </c>
      <c r="C129" s="15">
        <v>14</v>
      </c>
      <c r="D129" s="8" t="s">
        <v>210</v>
      </c>
      <c r="E129" s="4" t="s">
        <v>348</v>
      </c>
      <c r="F129" s="4" t="s">
        <v>355</v>
      </c>
      <c r="G129" s="4"/>
      <c r="H129" s="8" t="s">
        <v>41</v>
      </c>
      <c r="I129" s="8" t="s">
        <v>28</v>
      </c>
      <c r="J129" s="8" t="s">
        <v>192</v>
      </c>
      <c r="K129" s="4" t="s">
        <v>442</v>
      </c>
      <c r="L129" s="8" t="s">
        <v>13</v>
      </c>
      <c r="M129" s="4" t="s">
        <v>14</v>
      </c>
    </row>
    <row r="130" spans="1:13" ht="15.5" x14ac:dyDescent="0.35">
      <c r="A130" s="13">
        <v>46114</v>
      </c>
      <c r="B130" s="4">
        <v>2026</v>
      </c>
      <c r="C130" s="15">
        <v>14</v>
      </c>
      <c r="D130" s="8" t="s">
        <v>211</v>
      </c>
      <c r="E130" s="4" t="s">
        <v>348</v>
      </c>
      <c r="F130" s="4" t="s">
        <v>355</v>
      </c>
      <c r="G130" s="4"/>
      <c r="H130" s="8" t="s">
        <v>45</v>
      </c>
      <c r="I130" s="8" t="s">
        <v>11</v>
      </c>
      <c r="J130" s="8" t="s">
        <v>42</v>
      </c>
      <c r="K130" s="4" t="s">
        <v>442</v>
      </c>
      <c r="L130" s="8" t="s">
        <v>13</v>
      </c>
      <c r="M130" s="4" t="s">
        <v>14</v>
      </c>
    </row>
    <row r="131" spans="1:13" ht="15.5" x14ac:dyDescent="0.35">
      <c r="A131" s="13">
        <v>46118</v>
      </c>
      <c r="B131" s="4">
        <v>2026</v>
      </c>
      <c r="C131" s="15">
        <v>15</v>
      </c>
      <c r="D131" s="8" t="s">
        <v>212</v>
      </c>
      <c r="E131" s="4" t="s">
        <v>348</v>
      </c>
      <c r="F131" s="4" t="s">
        <v>355</v>
      </c>
      <c r="G131" s="4"/>
      <c r="H131" s="8" t="s">
        <v>27</v>
      </c>
      <c r="I131" s="8" t="s">
        <v>28</v>
      </c>
      <c r="J131" s="8" t="s">
        <v>31</v>
      </c>
      <c r="K131" s="4" t="s">
        <v>442</v>
      </c>
      <c r="L131" s="8" t="s">
        <v>13</v>
      </c>
      <c r="M131" s="4" t="s">
        <v>14</v>
      </c>
    </row>
    <row r="132" spans="1:13" ht="15.5" x14ac:dyDescent="0.35">
      <c r="A132" s="13">
        <v>46118</v>
      </c>
      <c r="B132" s="4">
        <v>2026</v>
      </c>
      <c r="C132" s="15">
        <v>15</v>
      </c>
      <c r="D132" s="8" t="s">
        <v>213</v>
      </c>
      <c r="E132" s="4" t="s">
        <v>348</v>
      </c>
      <c r="F132" s="4" t="s">
        <v>355</v>
      </c>
      <c r="G132" s="4"/>
      <c r="H132" s="8" t="s">
        <v>27</v>
      </c>
      <c r="I132" s="8" t="s">
        <v>11</v>
      </c>
      <c r="J132" s="8" t="s">
        <v>166</v>
      </c>
      <c r="K132" s="4" t="s">
        <v>442</v>
      </c>
      <c r="L132" s="8" t="s">
        <v>13</v>
      </c>
      <c r="M132" s="4" t="s">
        <v>14</v>
      </c>
    </row>
    <row r="133" spans="1:13" ht="15.5" x14ac:dyDescent="0.35">
      <c r="A133" s="13">
        <v>46118</v>
      </c>
      <c r="B133" s="4">
        <v>2026</v>
      </c>
      <c r="C133" s="15">
        <v>15</v>
      </c>
      <c r="D133" s="8" t="s">
        <v>214</v>
      </c>
      <c r="E133" s="4" t="s">
        <v>348</v>
      </c>
      <c r="F133" s="4" t="s">
        <v>355</v>
      </c>
      <c r="G133" s="4"/>
      <c r="H133" s="8" t="s">
        <v>41</v>
      </c>
      <c r="I133" s="8" t="s">
        <v>11</v>
      </c>
      <c r="J133" s="8" t="s">
        <v>12</v>
      </c>
      <c r="K133" s="4" t="s">
        <v>442</v>
      </c>
      <c r="L133" s="8" t="s">
        <v>13</v>
      </c>
      <c r="M133" s="4" t="s">
        <v>14</v>
      </c>
    </row>
    <row r="134" spans="1:13" ht="15.5" x14ac:dyDescent="0.35">
      <c r="A134" s="13">
        <v>46118</v>
      </c>
      <c r="B134" s="4">
        <v>2026</v>
      </c>
      <c r="C134" s="15">
        <v>15</v>
      </c>
      <c r="D134" s="8" t="s">
        <v>215</v>
      </c>
      <c r="E134" s="4" t="s">
        <v>348</v>
      </c>
      <c r="F134" s="4" t="s">
        <v>355</v>
      </c>
      <c r="G134" s="4"/>
      <c r="H134" s="8" t="s">
        <v>41</v>
      </c>
      <c r="I134" s="8" t="s">
        <v>11</v>
      </c>
      <c r="J134" s="8" t="s">
        <v>216</v>
      </c>
      <c r="K134" s="4" t="s">
        <v>442</v>
      </c>
      <c r="L134" s="8" t="s">
        <v>13</v>
      </c>
      <c r="M134" s="4" t="s">
        <v>14</v>
      </c>
    </row>
    <row r="135" spans="1:13" ht="15.5" x14ac:dyDescent="0.35">
      <c r="A135" s="13">
        <v>46120</v>
      </c>
      <c r="B135" s="4">
        <v>2026</v>
      </c>
      <c r="C135" s="15">
        <v>15</v>
      </c>
      <c r="D135" s="8" t="s">
        <v>217</v>
      </c>
      <c r="E135" s="4" t="s">
        <v>348</v>
      </c>
      <c r="F135" s="4" t="s">
        <v>355</v>
      </c>
      <c r="G135" s="4"/>
      <c r="H135" s="8" t="s">
        <v>38</v>
      </c>
      <c r="I135" s="8" t="s">
        <v>11</v>
      </c>
      <c r="J135" s="8" t="s">
        <v>166</v>
      </c>
      <c r="K135" s="4" t="s">
        <v>442</v>
      </c>
      <c r="L135" s="8" t="s">
        <v>13</v>
      </c>
      <c r="M135" s="4" t="s">
        <v>14</v>
      </c>
    </row>
    <row r="136" spans="1:13" ht="15.5" x14ac:dyDescent="0.35">
      <c r="A136" s="13">
        <v>46122</v>
      </c>
      <c r="B136" s="4">
        <v>2026</v>
      </c>
      <c r="C136" s="15">
        <v>15</v>
      </c>
      <c r="D136" s="8" t="s">
        <v>218</v>
      </c>
      <c r="E136" s="4" t="s">
        <v>348</v>
      </c>
      <c r="F136" s="4" t="s">
        <v>355</v>
      </c>
      <c r="G136" s="4"/>
      <c r="H136" s="8" t="s">
        <v>27</v>
      </c>
      <c r="I136" s="8" t="s">
        <v>11</v>
      </c>
      <c r="J136" s="8" t="s">
        <v>19</v>
      </c>
      <c r="K136" s="4" t="s">
        <v>442</v>
      </c>
      <c r="L136" s="8" t="s">
        <v>13</v>
      </c>
      <c r="M136" s="4" t="s">
        <v>14</v>
      </c>
    </row>
    <row r="137" spans="1:13" ht="15.5" x14ac:dyDescent="0.35">
      <c r="A137" s="13">
        <v>46122</v>
      </c>
      <c r="B137" s="4">
        <v>2026</v>
      </c>
      <c r="C137" s="15">
        <v>15</v>
      </c>
      <c r="D137" s="8" t="s">
        <v>219</v>
      </c>
      <c r="E137" s="4" t="s">
        <v>348</v>
      </c>
      <c r="F137" s="4" t="s">
        <v>355</v>
      </c>
      <c r="G137" s="4"/>
      <c r="H137" s="8" t="s">
        <v>41</v>
      </c>
      <c r="I137" s="8" t="s">
        <v>11</v>
      </c>
      <c r="J137" s="8" t="s">
        <v>84</v>
      </c>
      <c r="K137" s="4" t="s">
        <v>442</v>
      </c>
      <c r="L137" s="8" t="s">
        <v>13</v>
      </c>
      <c r="M137" s="4" t="s">
        <v>14</v>
      </c>
    </row>
    <row r="138" spans="1:13" ht="15.5" x14ac:dyDescent="0.35">
      <c r="A138" s="13">
        <v>46122</v>
      </c>
      <c r="B138" s="4">
        <v>2026</v>
      </c>
      <c r="C138" s="15">
        <v>15</v>
      </c>
      <c r="D138" s="8" t="s">
        <v>220</v>
      </c>
      <c r="E138" s="4" t="s">
        <v>348</v>
      </c>
      <c r="F138" s="4" t="s">
        <v>355</v>
      </c>
      <c r="G138" s="4"/>
      <c r="H138" s="8" t="s">
        <v>41</v>
      </c>
      <c r="I138" s="8" t="s">
        <v>28</v>
      </c>
      <c r="J138" s="8" t="s">
        <v>166</v>
      </c>
      <c r="K138" s="4" t="s">
        <v>442</v>
      </c>
      <c r="L138" s="8" t="s">
        <v>13</v>
      </c>
      <c r="M138" s="4" t="s">
        <v>14</v>
      </c>
    </row>
    <row r="139" spans="1:13" ht="15.5" x14ac:dyDescent="0.35">
      <c r="A139" s="13">
        <v>46122</v>
      </c>
      <c r="B139" s="4">
        <v>2026</v>
      </c>
      <c r="C139" s="15">
        <v>15</v>
      </c>
      <c r="D139" s="8" t="s">
        <v>221</v>
      </c>
      <c r="E139" s="4" t="s">
        <v>348</v>
      </c>
      <c r="F139" s="4" t="s">
        <v>355</v>
      </c>
      <c r="G139" s="4"/>
      <c r="H139" s="8" t="s">
        <v>41</v>
      </c>
      <c r="I139" s="8" t="s">
        <v>11</v>
      </c>
      <c r="J139" s="8" t="s">
        <v>166</v>
      </c>
      <c r="K139" s="4" t="s">
        <v>442</v>
      </c>
      <c r="L139" s="8" t="s">
        <v>13</v>
      </c>
      <c r="M139" s="4" t="s">
        <v>14</v>
      </c>
    </row>
    <row r="140" spans="1:13" ht="15.5" x14ac:dyDescent="0.35">
      <c r="A140" s="13">
        <v>46122</v>
      </c>
      <c r="B140" s="4">
        <v>2026</v>
      </c>
      <c r="C140" s="15">
        <v>15</v>
      </c>
      <c r="D140" s="8" t="s">
        <v>222</v>
      </c>
      <c r="E140" s="4" t="s">
        <v>348</v>
      </c>
      <c r="F140" s="4" t="s">
        <v>355</v>
      </c>
      <c r="G140" s="4"/>
      <c r="H140" s="8" t="s">
        <v>41</v>
      </c>
      <c r="I140" s="8" t="s">
        <v>28</v>
      </c>
      <c r="J140" s="8" t="s">
        <v>49</v>
      </c>
      <c r="K140" s="4" t="s">
        <v>442</v>
      </c>
      <c r="L140" s="8" t="s">
        <v>13</v>
      </c>
      <c r="M140" s="4" t="s">
        <v>14</v>
      </c>
    </row>
    <row r="141" spans="1:13" ht="15.5" x14ac:dyDescent="0.35">
      <c r="A141" s="13">
        <v>46122</v>
      </c>
      <c r="B141" s="4">
        <v>2026</v>
      </c>
      <c r="C141" s="15">
        <v>15</v>
      </c>
      <c r="D141" s="8" t="s">
        <v>223</v>
      </c>
      <c r="E141" s="4" t="s">
        <v>348</v>
      </c>
      <c r="F141" s="4" t="s">
        <v>355</v>
      </c>
      <c r="G141" s="4"/>
      <c r="H141" s="8" t="s">
        <v>48</v>
      </c>
      <c r="I141" s="8" t="s">
        <v>11</v>
      </c>
      <c r="J141" s="8" t="s">
        <v>92</v>
      </c>
      <c r="K141" s="4" t="s">
        <v>442</v>
      </c>
      <c r="L141" s="8" t="s">
        <v>13</v>
      </c>
      <c r="M141" s="4" t="s">
        <v>14</v>
      </c>
    </row>
    <row r="142" spans="1:13" ht="15.5" x14ac:dyDescent="0.35">
      <c r="A142" s="13">
        <v>46126</v>
      </c>
      <c r="B142" s="4">
        <v>2026</v>
      </c>
      <c r="C142" s="15">
        <v>16</v>
      </c>
      <c r="D142" s="8" t="s">
        <v>224</v>
      </c>
      <c r="E142" s="4" t="s">
        <v>348</v>
      </c>
      <c r="F142" s="4" t="s">
        <v>355</v>
      </c>
      <c r="G142" s="4"/>
      <c r="H142" s="8" t="s">
        <v>21</v>
      </c>
      <c r="I142" s="8" t="s">
        <v>28</v>
      </c>
      <c r="J142" s="8" t="s">
        <v>225</v>
      </c>
      <c r="K142" s="4" t="s">
        <v>442</v>
      </c>
      <c r="L142" s="8" t="s">
        <v>13</v>
      </c>
      <c r="M142" s="4" t="s">
        <v>14</v>
      </c>
    </row>
    <row r="143" spans="1:13" ht="15.5" x14ac:dyDescent="0.35">
      <c r="A143" s="13">
        <v>46126</v>
      </c>
      <c r="B143" s="4">
        <v>2026</v>
      </c>
      <c r="C143" s="15">
        <v>16</v>
      </c>
      <c r="D143" s="8" t="s">
        <v>226</v>
      </c>
      <c r="E143" s="4" t="s">
        <v>348</v>
      </c>
      <c r="F143" s="4" t="s">
        <v>355</v>
      </c>
      <c r="G143" s="4"/>
      <c r="H143" s="8" t="s">
        <v>74</v>
      </c>
      <c r="I143" s="8" t="s">
        <v>11</v>
      </c>
      <c r="J143" s="8" t="s">
        <v>12</v>
      </c>
      <c r="K143" s="4" t="s">
        <v>442</v>
      </c>
      <c r="L143" s="8" t="s">
        <v>13</v>
      </c>
      <c r="M143" s="4" t="s">
        <v>14</v>
      </c>
    </row>
    <row r="144" spans="1:13" ht="15.5" x14ac:dyDescent="0.35">
      <c r="A144" s="13">
        <v>46126</v>
      </c>
      <c r="B144" s="4">
        <v>2026</v>
      </c>
      <c r="C144" s="15">
        <v>16</v>
      </c>
      <c r="D144" s="8" t="s">
        <v>227</v>
      </c>
      <c r="E144" s="4" t="s">
        <v>348</v>
      </c>
      <c r="F144" s="4" t="s">
        <v>355</v>
      </c>
      <c r="G144" s="4"/>
      <c r="H144" s="8" t="s">
        <v>41</v>
      </c>
      <c r="I144" s="8" t="s">
        <v>11</v>
      </c>
      <c r="J144" s="8" t="s">
        <v>187</v>
      </c>
      <c r="K144" s="4" t="s">
        <v>442</v>
      </c>
      <c r="L144" s="6" t="s">
        <v>107</v>
      </c>
      <c r="M144" s="4" t="s">
        <v>14</v>
      </c>
    </row>
    <row r="145" spans="1:13" ht="15.5" x14ac:dyDescent="0.35">
      <c r="A145" s="13">
        <v>46126</v>
      </c>
      <c r="B145" s="4">
        <v>2026</v>
      </c>
      <c r="C145" s="15">
        <v>16</v>
      </c>
      <c r="D145" s="8" t="s">
        <v>228</v>
      </c>
      <c r="E145" s="4" t="s">
        <v>348</v>
      </c>
      <c r="F145" s="4" t="s">
        <v>355</v>
      </c>
      <c r="G145" s="4"/>
      <c r="H145" s="8" t="s">
        <v>41</v>
      </c>
      <c r="I145" s="8" t="s">
        <v>11</v>
      </c>
      <c r="J145" s="8" t="s">
        <v>104</v>
      </c>
      <c r="K145" s="4" t="s">
        <v>443</v>
      </c>
      <c r="L145" s="8" t="s">
        <v>13</v>
      </c>
      <c r="M145" s="4" t="s">
        <v>14</v>
      </c>
    </row>
    <row r="146" spans="1:13" ht="15.5" x14ac:dyDescent="0.35">
      <c r="A146" s="13">
        <v>46126</v>
      </c>
      <c r="B146" s="4">
        <v>2026</v>
      </c>
      <c r="C146" s="15">
        <v>16</v>
      </c>
      <c r="D146" s="8" t="s">
        <v>229</v>
      </c>
      <c r="E146" s="4" t="s">
        <v>348</v>
      </c>
      <c r="F146" s="4" t="s">
        <v>355</v>
      </c>
      <c r="G146" s="4"/>
      <c r="H146" s="8" t="s">
        <v>41</v>
      </c>
      <c r="I146" s="8" t="s">
        <v>11</v>
      </c>
      <c r="J146" s="8" t="s">
        <v>187</v>
      </c>
      <c r="K146" s="4" t="s">
        <v>442</v>
      </c>
      <c r="L146" s="6" t="s">
        <v>107</v>
      </c>
      <c r="M146" s="4" t="s">
        <v>14</v>
      </c>
    </row>
    <row r="147" spans="1:13" ht="15.5" x14ac:dyDescent="0.35">
      <c r="A147" s="13">
        <v>46128</v>
      </c>
      <c r="B147" s="4">
        <v>2026</v>
      </c>
      <c r="C147" s="15">
        <v>16</v>
      </c>
      <c r="D147" s="8" t="s">
        <v>230</v>
      </c>
      <c r="E147" s="4" t="s">
        <v>348</v>
      </c>
      <c r="F147" s="4" t="s">
        <v>355</v>
      </c>
      <c r="G147" s="4"/>
      <c r="H147" s="8" t="s">
        <v>27</v>
      </c>
      <c r="I147" s="8" t="s">
        <v>11</v>
      </c>
      <c r="J147" s="8" t="s">
        <v>166</v>
      </c>
      <c r="K147" s="4" t="s">
        <v>442</v>
      </c>
      <c r="L147" s="8" t="s">
        <v>13</v>
      </c>
      <c r="M147" s="4" t="s">
        <v>14</v>
      </c>
    </row>
    <row r="148" spans="1:13" ht="15.5" x14ac:dyDescent="0.35">
      <c r="A148" s="13">
        <v>46129</v>
      </c>
      <c r="B148" s="4">
        <v>2026</v>
      </c>
      <c r="C148" s="15">
        <v>16</v>
      </c>
      <c r="D148" s="8" t="s">
        <v>231</v>
      </c>
      <c r="E148" s="4" t="s">
        <v>348</v>
      </c>
      <c r="F148" s="4" t="s">
        <v>355</v>
      </c>
      <c r="G148" s="4"/>
      <c r="H148" s="8" t="s">
        <v>41</v>
      </c>
      <c r="I148" s="8" t="s">
        <v>28</v>
      </c>
      <c r="J148" s="8" t="s">
        <v>19</v>
      </c>
      <c r="K148" s="4" t="s">
        <v>442</v>
      </c>
      <c r="L148" s="8" t="s">
        <v>13</v>
      </c>
      <c r="M148" s="4" t="s">
        <v>14</v>
      </c>
    </row>
    <row r="149" spans="1:13" ht="15.5" x14ac:dyDescent="0.35">
      <c r="A149" s="13">
        <v>46129</v>
      </c>
      <c r="B149" s="4">
        <v>2026</v>
      </c>
      <c r="C149" s="15">
        <v>16</v>
      </c>
      <c r="D149" s="8" t="s">
        <v>232</v>
      </c>
      <c r="E149" s="4" t="s">
        <v>348</v>
      </c>
      <c r="F149" s="4" t="s">
        <v>355</v>
      </c>
      <c r="G149" s="4"/>
      <c r="H149" s="8" t="s">
        <v>41</v>
      </c>
      <c r="I149" s="8" t="s">
        <v>11</v>
      </c>
      <c r="J149" s="8" t="s">
        <v>92</v>
      </c>
      <c r="K149" s="4" t="s">
        <v>442</v>
      </c>
      <c r="L149" s="8" t="s">
        <v>13</v>
      </c>
      <c r="M149" s="4" t="s">
        <v>14</v>
      </c>
    </row>
    <row r="150" spans="1:13" ht="15.5" x14ac:dyDescent="0.35">
      <c r="A150" s="13">
        <v>46129</v>
      </c>
      <c r="B150" s="4">
        <v>2026</v>
      </c>
      <c r="C150" s="15">
        <v>16</v>
      </c>
      <c r="D150" s="8" t="s">
        <v>233</v>
      </c>
      <c r="E150" s="4" t="s">
        <v>348</v>
      </c>
      <c r="F150" s="4" t="s">
        <v>355</v>
      </c>
      <c r="G150" s="4"/>
      <c r="H150" s="8" t="s">
        <v>111</v>
      </c>
      <c r="I150" s="8" t="s">
        <v>11</v>
      </c>
      <c r="J150" s="8" t="s">
        <v>12</v>
      </c>
      <c r="K150" s="4" t="s">
        <v>442</v>
      </c>
      <c r="L150" s="8" t="s">
        <v>13</v>
      </c>
      <c r="M150" s="4" t="s">
        <v>14</v>
      </c>
    </row>
    <row r="151" spans="1:13" ht="15.5" x14ac:dyDescent="0.35">
      <c r="A151" s="13">
        <v>46129</v>
      </c>
      <c r="B151" s="4">
        <v>2026</v>
      </c>
      <c r="C151" s="15">
        <v>16</v>
      </c>
      <c r="D151" s="8" t="s">
        <v>234</v>
      </c>
      <c r="E151" s="4" t="s">
        <v>348</v>
      </c>
      <c r="F151" s="4" t="s">
        <v>355</v>
      </c>
      <c r="G151" s="4"/>
      <c r="H151" s="8" t="s">
        <v>163</v>
      </c>
      <c r="I151" s="8" t="s">
        <v>11</v>
      </c>
      <c r="J151" s="8" t="s">
        <v>19</v>
      </c>
      <c r="K151" s="4" t="s">
        <v>442</v>
      </c>
      <c r="L151" s="6" t="s">
        <v>235</v>
      </c>
      <c r="M151" s="4" t="s">
        <v>14</v>
      </c>
    </row>
    <row r="152" spans="1:13" ht="15.5" x14ac:dyDescent="0.35">
      <c r="A152" s="13">
        <v>46129</v>
      </c>
      <c r="B152" s="4">
        <v>2026</v>
      </c>
      <c r="C152" s="15">
        <v>16</v>
      </c>
      <c r="D152" s="8" t="s">
        <v>236</v>
      </c>
      <c r="E152" s="4" t="s">
        <v>348</v>
      </c>
      <c r="F152" s="4" t="s">
        <v>355</v>
      </c>
      <c r="G152" s="4"/>
      <c r="H152" s="8" t="s">
        <v>27</v>
      </c>
      <c r="I152" s="8" t="s">
        <v>11</v>
      </c>
      <c r="J152" s="8" t="s">
        <v>237</v>
      </c>
      <c r="K152" s="4" t="s">
        <v>442</v>
      </c>
      <c r="L152" s="8" t="s">
        <v>13</v>
      </c>
      <c r="M152" s="4" t="s">
        <v>14</v>
      </c>
    </row>
    <row r="153" spans="1:13" ht="15.5" x14ac:dyDescent="0.35">
      <c r="A153" s="13">
        <v>46132</v>
      </c>
      <c r="B153" s="4">
        <v>2026</v>
      </c>
      <c r="C153" s="15">
        <v>17</v>
      </c>
      <c r="D153" s="8" t="s">
        <v>238</v>
      </c>
      <c r="E153" s="4" t="s">
        <v>348</v>
      </c>
      <c r="F153" s="4" t="s">
        <v>355</v>
      </c>
      <c r="G153" s="4"/>
      <c r="H153" s="8" t="s">
        <v>27</v>
      </c>
      <c r="I153" s="8" t="s">
        <v>11</v>
      </c>
      <c r="J153" s="8" t="s">
        <v>166</v>
      </c>
      <c r="K153" s="4" t="s">
        <v>442</v>
      </c>
      <c r="L153" s="8" t="s">
        <v>13</v>
      </c>
      <c r="M153" s="4" t="s">
        <v>14</v>
      </c>
    </row>
    <row r="154" spans="1:13" ht="15.5" x14ac:dyDescent="0.35">
      <c r="A154" s="13">
        <v>46132</v>
      </c>
      <c r="B154" s="4">
        <v>2026</v>
      </c>
      <c r="C154" s="15">
        <v>17</v>
      </c>
      <c r="D154" s="8" t="s">
        <v>239</v>
      </c>
      <c r="E154" s="4" t="s">
        <v>348</v>
      </c>
      <c r="F154" s="4" t="s">
        <v>355</v>
      </c>
      <c r="G154" s="4"/>
      <c r="H154" s="8" t="s">
        <v>41</v>
      </c>
      <c r="I154" s="8" t="s">
        <v>28</v>
      </c>
      <c r="J154" s="8" t="s">
        <v>166</v>
      </c>
      <c r="K154" s="4" t="s">
        <v>442</v>
      </c>
      <c r="L154" s="7" t="s">
        <v>140</v>
      </c>
      <c r="M154" s="4" t="s">
        <v>14</v>
      </c>
    </row>
    <row r="155" spans="1:13" ht="15.5" x14ac:dyDescent="0.35">
      <c r="A155" s="13">
        <v>46132</v>
      </c>
      <c r="B155" s="4">
        <v>2026</v>
      </c>
      <c r="C155" s="15">
        <v>17</v>
      </c>
      <c r="D155" s="8" t="s">
        <v>240</v>
      </c>
      <c r="E155" s="4" t="s">
        <v>348</v>
      </c>
      <c r="F155" s="4" t="s">
        <v>355</v>
      </c>
      <c r="G155" s="4"/>
      <c r="H155" s="8" t="s">
        <v>163</v>
      </c>
      <c r="I155" s="8" t="s">
        <v>11</v>
      </c>
      <c r="J155" s="8" t="s">
        <v>115</v>
      </c>
      <c r="K155" s="4" t="s">
        <v>442</v>
      </c>
      <c r="L155" s="8" t="s">
        <v>13</v>
      </c>
      <c r="M155" s="4" t="s">
        <v>14</v>
      </c>
    </row>
    <row r="156" spans="1:13" ht="15.5" x14ac:dyDescent="0.35">
      <c r="A156" s="13">
        <v>46132</v>
      </c>
      <c r="B156" s="4">
        <v>2026</v>
      </c>
      <c r="C156" s="15">
        <v>17</v>
      </c>
      <c r="D156" s="8" t="s">
        <v>241</v>
      </c>
      <c r="E156" s="4" t="s">
        <v>348</v>
      </c>
      <c r="F156" s="4" t="s">
        <v>355</v>
      </c>
      <c r="G156" s="4"/>
      <c r="H156" s="8" t="s">
        <v>53</v>
      </c>
      <c r="I156" s="8" t="s">
        <v>28</v>
      </c>
      <c r="J156" s="8" t="s">
        <v>19</v>
      </c>
      <c r="K156" s="4" t="s">
        <v>442</v>
      </c>
      <c r="L156" s="8" t="s">
        <v>13</v>
      </c>
      <c r="M156" s="4" t="s">
        <v>14</v>
      </c>
    </row>
    <row r="157" spans="1:13" ht="15.5" x14ac:dyDescent="0.35">
      <c r="A157" s="13">
        <v>46132</v>
      </c>
      <c r="B157" s="4">
        <v>2026</v>
      </c>
      <c r="C157" s="15">
        <v>17</v>
      </c>
      <c r="D157" s="8" t="s">
        <v>242</v>
      </c>
      <c r="E157" s="4" t="s">
        <v>348</v>
      </c>
      <c r="F157" s="4" t="s">
        <v>355</v>
      </c>
      <c r="G157" s="4"/>
      <c r="H157" s="8" t="s">
        <v>111</v>
      </c>
      <c r="I157" s="8" t="s">
        <v>11</v>
      </c>
      <c r="J157" s="8" t="s">
        <v>243</v>
      </c>
      <c r="K157" s="4" t="s">
        <v>442</v>
      </c>
      <c r="L157" s="8" t="s">
        <v>13</v>
      </c>
      <c r="M157" s="4" t="s">
        <v>14</v>
      </c>
    </row>
    <row r="158" spans="1:13" ht="15.5" x14ac:dyDescent="0.35">
      <c r="A158" s="13">
        <v>46132</v>
      </c>
      <c r="B158" s="4">
        <v>2026</v>
      </c>
      <c r="C158" s="15">
        <v>17</v>
      </c>
      <c r="D158" s="8" t="s">
        <v>244</v>
      </c>
      <c r="E158" s="4" t="s">
        <v>348</v>
      </c>
      <c r="F158" s="4" t="s">
        <v>355</v>
      </c>
      <c r="G158" s="4"/>
      <c r="H158" s="8" t="s">
        <v>45</v>
      </c>
      <c r="I158" s="8" t="s">
        <v>11</v>
      </c>
      <c r="J158" s="8" t="s">
        <v>49</v>
      </c>
      <c r="K158" s="4" t="s">
        <v>442</v>
      </c>
      <c r="L158" s="8" t="s">
        <v>13</v>
      </c>
      <c r="M158" s="4" t="s">
        <v>14</v>
      </c>
    </row>
    <row r="159" spans="1:13" ht="15.5" x14ac:dyDescent="0.35">
      <c r="A159" s="13">
        <v>46132</v>
      </c>
      <c r="B159" s="4">
        <v>2026</v>
      </c>
      <c r="C159" s="15">
        <v>17</v>
      </c>
      <c r="D159" s="8" t="s">
        <v>245</v>
      </c>
      <c r="E159" s="4" t="s">
        <v>348</v>
      </c>
      <c r="F159" s="4" t="s">
        <v>355</v>
      </c>
      <c r="G159" s="4"/>
      <c r="H159" s="8" t="s">
        <v>246</v>
      </c>
      <c r="I159" s="8" t="s">
        <v>11</v>
      </c>
      <c r="J159" s="8" t="s">
        <v>31</v>
      </c>
      <c r="K159" s="4" t="s">
        <v>442</v>
      </c>
      <c r="L159" s="8" t="s">
        <v>13</v>
      </c>
      <c r="M159" s="4" t="s">
        <v>14</v>
      </c>
    </row>
    <row r="160" spans="1:13" ht="15.5" x14ac:dyDescent="0.35">
      <c r="A160" s="13">
        <v>46132</v>
      </c>
      <c r="B160" s="4">
        <v>2026</v>
      </c>
      <c r="C160" s="15">
        <v>17</v>
      </c>
      <c r="D160" s="8" t="s">
        <v>247</v>
      </c>
      <c r="E160" s="4" t="s">
        <v>348</v>
      </c>
      <c r="F160" s="4" t="s">
        <v>355</v>
      </c>
      <c r="G160" s="4"/>
      <c r="H160" s="8" t="s">
        <v>18</v>
      </c>
      <c r="I160" s="8" t="s">
        <v>28</v>
      </c>
      <c r="J160" s="8" t="s">
        <v>25</v>
      </c>
      <c r="K160" s="4" t="s">
        <v>443</v>
      </c>
      <c r="L160" s="8" t="s">
        <v>13</v>
      </c>
      <c r="M160" s="4" t="s">
        <v>14</v>
      </c>
    </row>
    <row r="161" spans="1:13" ht="15.5" x14ac:dyDescent="0.35">
      <c r="A161" s="13">
        <v>46134</v>
      </c>
      <c r="B161" s="4">
        <v>2026</v>
      </c>
      <c r="C161" s="15">
        <v>17</v>
      </c>
      <c r="D161" s="8" t="s">
        <v>248</v>
      </c>
      <c r="E161" s="4" t="s">
        <v>348</v>
      </c>
      <c r="F161" s="4" t="s">
        <v>355</v>
      </c>
      <c r="G161" s="4"/>
      <c r="H161" s="8" t="s">
        <v>41</v>
      </c>
      <c r="I161" s="8" t="s">
        <v>11</v>
      </c>
      <c r="J161" s="8" t="s">
        <v>203</v>
      </c>
      <c r="K161" s="4" t="s">
        <v>443</v>
      </c>
      <c r="L161" s="8" t="s">
        <v>13</v>
      </c>
      <c r="M161" s="4" t="s">
        <v>14</v>
      </c>
    </row>
    <row r="162" spans="1:13" ht="15.5" x14ac:dyDescent="0.35">
      <c r="A162" s="13">
        <v>46134</v>
      </c>
      <c r="B162" s="4">
        <v>2026</v>
      </c>
      <c r="C162" s="15">
        <v>17</v>
      </c>
      <c r="D162" s="8" t="s">
        <v>249</v>
      </c>
      <c r="E162" s="4" t="s">
        <v>348</v>
      </c>
      <c r="F162" s="4" t="s">
        <v>355</v>
      </c>
      <c r="G162" s="4"/>
      <c r="H162" s="8" t="s">
        <v>199</v>
      </c>
      <c r="I162" s="8" t="s">
        <v>11</v>
      </c>
      <c r="J162" s="8"/>
      <c r="K162" s="8"/>
      <c r="L162" s="8" t="s">
        <v>13</v>
      </c>
      <c r="M162" s="4" t="s">
        <v>14</v>
      </c>
    </row>
    <row r="163" spans="1:13" ht="15.5" x14ac:dyDescent="0.35">
      <c r="A163" s="13">
        <v>46134</v>
      </c>
      <c r="B163" s="4">
        <v>2026</v>
      </c>
      <c r="C163" s="15">
        <v>17</v>
      </c>
      <c r="D163" s="8" t="s">
        <v>250</v>
      </c>
      <c r="E163" s="4" t="s">
        <v>348</v>
      </c>
      <c r="F163" s="4" t="s">
        <v>355</v>
      </c>
      <c r="G163" s="4"/>
      <c r="H163" s="8" t="s">
        <v>199</v>
      </c>
      <c r="I163" s="8" t="s">
        <v>28</v>
      </c>
      <c r="J163" s="8" t="s">
        <v>22</v>
      </c>
      <c r="K163" s="4" t="s">
        <v>442</v>
      </c>
      <c r="L163" s="8" t="s">
        <v>13</v>
      </c>
      <c r="M163" s="4" t="s">
        <v>14</v>
      </c>
    </row>
    <row r="164" spans="1:13" ht="15.5" x14ac:dyDescent="0.35">
      <c r="A164" s="13">
        <v>46134</v>
      </c>
      <c r="B164" s="4">
        <v>2026</v>
      </c>
      <c r="C164" s="15">
        <v>17</v>
      </c>
      <c r="D164" s="8" t="s">
        <v>251</v>
      </c>
      <c r="E164" s="4" t="s">
        <v>348</v>
      </c>
      <c r="F164" s="4" t="s">
        <v>355</v>
      </c>
      <c r="G164" s="4"/>
      <c r="H164" s="8" t="s">
        <v>41</v>
      </c>
      <c r="I164" s="8" t="s">
        <v>28</v>
      </c>
      <c r="J164" s="8" t="s">
        <v>19</v>
      </c>
      <c r="K164" s="4" t="s">
        <v>442</v>
      </c>
      <c r="L164" s="8" t="s">
        <v>13</v>
      </c>
      <c r="M164" s="4" t="s">
        <v>14</v>
      </c>
    </row>
    <row r="165" spans="1:13" ht="15.5" x14ac:dyDescent="0.35">
      <c r="A165" s="13">
        <v>46134</v>
      </c>
      <c r="B165" s="4">
        <v>2026</v>
      </c>
      <c r="C165" s="15">
        <v>17</v>
      </c>
      <c r="D165" s="8" t="s">
        <v>252</v>
      </c>
      <c r="E165" s="4" t="s">
        <v>348</v>
      </c>
      <c r="F165" s="4" t="s">
        <v>355</v>
      </c>
      <c r="G165" s="4"/>
      <c r="H165" s="8" t="s">
        <v>253</v>
      </c>
      <c r="I165" s="8" t="s">
        <v>11</v>
      </c>
      <c r="J165" s="8" t="s">
        <v>33</v>
      </c>
      <c r="K165" s="4" t="s">
        <v>442</v>
      </c>
      <c r="L165" s="8" t="s">
        <v>13</v>
      </c>
      <c r="M165" s="4" t="s">
        <v>14</v>
      </c>
    </row>
    <row r="166" spans="1:13" ht="15.5" x14ac:dyDescent="0.35">
      <c r="A166" s="13">
        <v>46135</v>
      </c>
      <c r="B166" s="4">
        <v>2026</v>
      </c>
      <c r="C166" s="15">
        <v>17</v>
      </c>
      <c r="D166" s="8" t="s">
        <v>254</v>
      </c>
      <c r="E166" s="4" t="s">
        <v>348</v>
      </c>
      <c r="F166" s="4" t="s">
        <v>355</v>
      </c>
      <c r="G166" s="4"/>
      <c r="H166" s="8" t="s">
        <v>41</v>
      </c>
      <c r="I166" s="8" t="s">
        <v>28</v>
      </c>
      <c r="J166" s="8" t="s">
        <v>29</v>
      </c>
      <c r="K166" s="4" t="s">
        <v>443</v>
      </c>
      <c r="L166" s="8" t="s">
        <v>13</v>
      </c>
      <c r="M166" s="4" t="s">
        <v>14</v>
      </c>
    </row>
    <row r="167" spans="1:13" ht="15.5" x14ac:dyDescent="0.35">
      <c r="A167" s="13">
        <v>46135</v>
      </c>
      <c r="B167" s="4">
        <v>2026</v>
      </c>
      <c r="C167" s="15">
        <v>17</v>
      </c>
      <c r="D167" s="8" t="s">
        <v>255</v>
      </c>
      <c r="E167" s="4" t="s">
        <v>348</v>
      </c>
      <c r="F167" s="4" t="s">
        <v>355</v>
      </c>
      <c r="G167" s="4"/>
      <c r="H167" s="8" t="s">
        <v>53</v>
      </c>
      <c r="I167" s="8" t="s">
        <v>28</v>
      </c>
      <c r="J167" s="8" t="s">
        <v>256</v>
      </c>
      <c r="K167" s="4" t="s">
        <v>443</v>
      </c>
      <c r="L167" s="8" t="s">
        <v>13</v>
      </c>
      <c r="M167" s="4" t="s">
        <v>14</v>
      </c>
    </row>
    <row r="168" spans="1:13" ht="15.5" x14ac:dyDescent="0.35">
      <c r="A168" s="13">
        <v>46135</v>
      </c>
      <c r="B168" s="4">
        <v>2026</v>
      </c>
      <c r="C168" s="15">
        <v>17</v>
      </c>
      <c r="D168" s="8" t="s">
        <v>257</v>
      </c>
      <c r="E168" s="4" t="s">
        <v>348</v>
      </c>
      <c r="F168" s="4" t="s">
        <v>355</v>
      </c>
      <c r="G168" s="4"/>
      <c r="H168" s="8" t="s">
        <v>24</v>
      </c>
      <c r="I168" s="8" t="s">
        <v>28</v>
      </c>
      <c r="J168" s="8" t="s">
        <v>258</v>
      </c>
      <c r="K168" s="4" t="s">
        <v>443</v>
      </c>
      <c r="L168" s="8" t="s">
        <v>13</v>
      </c>
      <c r="M168" s="4" t="s">
        <v>14</v>
      </c>
    </row>
    <row r="169" spans="1:13" ht="15.5" x14ac:dyDescent="0.35">
      <c r="A169" s="13">
        <v>46135</v>
      </c>
      <c r="B169" s="4">
        <v>2026</v>
      </c>
      <c r="C169" s="15">
        <v>17</v>
      </c>
      <c r="D169" s="8" t="s">
        <v>259</v>
      </c>
      <c r="E169" s="4" t="s">
        <v>348</v>
      </c>
      <c r="F169" s="4" t="s">
        <v>355</v>
      </c>
      <c r="G169" s="4"/>
      <c r="H169" s="8" t="s">
        <v>53</v>
      </c>
      <c r="I169" s="8" t="s">
        <v>11</v>
      </c>
      <c r="J169" s="8" t="s">
        <v>12</v>
      </c>
      <c r="K169" s="4" t="s">
        <v>442</v>
      </c>
      <c r="L169" s="8" t="s">
        <v>13</v>
      </c>
      <c r="M169" s="4" t="s">
        <v>14</v>
      </c>
    </row>
    <row r="170" spans="1:13" ht="15.5" x14ac:dyDescent="0.35">
      <c r="A170" s="13">
        <v>46136</v>
      </c>
      <c r="B170" s="4">
        <v>2026</v>
      </c>
      <c r="C170" s="15">
        <v>17</v>
      </c>
      <c r="D170" s="8" t="s">
        <v>260</v>
      </c>
      <c r="E170" s="4" t="s">
        <v>348</v>
      </c>
      <c r="F170" s="4" t="s">
        <v>355</v>
      </c>
      <c r="G170" s="4"/>
      <c r="H170" s="8" t="s">
        <v>253</v>
      </c>
      <c r="I170" s="8" t="s">
        <v>28</v>
      </c>
      <c r="J170" s="8" t="s">
        <v>12</v>
      </c>
      <c r="K170" s="4" t="s">
        <v>442</v>
      </c>
      <c r="L170" s="8" t="s">
        <v>13</v>
      </c>
      <c r="M170" s="4" t="s">
        <v>14</v>
      </c>
    </row>
    <row r="171" spans="1:13" ht="15.5" x14ac:dyDescent="0.35">
      <c r="A171" s="13">
        <v>46139</v>
      </c>
      <c r="B171" s="4">
        <v>2026</v>
      </c>
      <c r="C171" s="15">
        <v>18</v>
      </c>
      <c r="D171" s="8" t="s">
        <v>261</v>
      </c>
      <c r="E171" s="4" t="s">
        <v>348</v>
      </c>
      <c r="F171" s="4" t="s">
        <v>355</v>
      </c>
      <c r="G171" s="4"/>
      <c r="H171" s="8" t="s">
        <v>41</v>
      </c>
      <c r="I171" s="8" t="s">
        <v>28</v>
      </c>
      <c r="J171" s="8" t="s">
        <v>31</v>
      </c>
      <c r="K171" s="4" t="s">
        <v>442</v>
      </c>
      <c r="L171" s="8" t="s">
        <v>13</v>
      </c>
      <c r="M171" s="4" t="s">
        <v>14</v>
      </c>
    </row>
    <row r="172" spans="1:13" ht="15.5" x14ac:dyDescent="0.35">
      <c r="A172" s="13">
        <v>46139</v>
      </c>
      <c r="B172" s="4">
        <v>2026</v>
      </c>
      <c r="C172" s="15">
        <v>18</v>
      </c>
      <c r="D172" s="8" t="s">
        <v>262</v>
      </c>
      <c r="E172" s="4" t="s">
        <v>348</v>
      </c>
      <c r="F172" s="4" t="s">
        <v>355</v>
      </c>
      <c r="G172" s="4"/>
      <c r="H172" s="8" t="s">
        <v>71</v>
      </c>
      <c r="I172" s="8" t="s">
        <v>28</v>
      </c>
      <c r="J172" s="8" t="s">
        <v>263</v>
      </c>
      <c r="K172" s="4" t="s">
        <v>442</v>
      </c>
      <c r="L172" s="8" t="s">
        <v>13</v>
      </c>
      <c r="M172" s="4" t="s">
        <v>14</v>
      </c>
    </row>
    <row r="173" spans="1:13" ht="15.5" x14ac:dyDescent="0.35">
      <c r="A173" s="13">
        <v>46139</v>
      </c>
      <c r="B173" s="4">
        <v>2026</v>
      </c>
      <c r="C173" s="15">
        <v>18</v>
      </c>
      <c r="D173" s="8" t="s">
        <v>264</v>
      </c>
      <c r="E173" s="4" t="s">
        <v>348</v>
      </c>
      <c r="F173" s="4" t="s">
        <v>355</v>
      </c>
      <c r="G173" s="4"/>
      <c r="H173" s="8" t="s">
        <v>10</v>
      </c>
      <c r="I173" s="8" t="s">
        <v>11</v>
      </c>
      <c r="J173" s="8" t="s">
        <v>25</v>
      </c>
      <c r="K173" s="4" t="s">
        <v>443</v>
      </c>
      <c r="L173" s="8" t="s">
        <v>13</v>
      </c>
      <c r="M173" s="4" t="s">
        <v>14</v>
      </c>
    </row>
    <row r="174" spans="1:13" ht="15.5" x14ac:dyDescent="0.35">
      <c r="A174" s="13">
        <v>46139</v>
      </c>
      <c r="B174" s="4">
        <v>2026</v>
      </c>
      <c r="C174" s="15">
        <v>18</v>
      </c>
      <c r="D174" s="8" t="s">
        <v>265</v>
      </c>
      <c r="E174" s="4" t="s">
        <v>348</v>
      </c>
      <c r="F174" s="4" t="s">
        <v>355</v>
      </c>
      <c r="G174" s="4"/>
      <c r="H174" s="8" t="s">
        <v>41</v>
      </c>
      <c r="I174" s="8" t="s">
        <v>11</v>
      </c>
      <c r="J174" s="8" t="s">
        <v>31</v>
      </c>
      <c r="K174" s="4" t="s">
        <v>442</v>
      </c>
      <c r="L174" s="6" t="s">
        <v>107</v>
      </c>
      <c r="M174" s="4" t="s">
        <v>14</v>
      </c>
    </row>
    <row r="175" spans="1:13" ht="15.5" x14ac:dyDescent="0.35">
      <c r="A175" s="13">
        <v>46139</v>
      </c>
      <c r="B175" s="4">
        <v>2026</v>
      </c>
      <c r="C175" s="15">
        <v>18</v>
      </c>
      <c r="D175" s="8" t="s">
        <v>266</v>
      </c>
      <c r="E175" s="4" t="s">
        <v>348</v>
      </c>
      <c r="F175" s="4" t="s">
        <v>355</v>
      </c>
      <c r="G175" s="4"/>
      <c r="H175" s="8" t="s">
        <v>38</v>
      </c>
      <c r="I175" s="8" t="s">
        <v>28</v>
      </c>
      <c r="J175" s="8" t="s">
        <v>33</v>
      </c>
      <c r="K175" s="4" t="s">
        <v>442</v>
      </c>
      <c r="L175" s="8" t="s">
        <v>13</v>
      </c>
      <c r="M175" s="4" t="s">
        <v>14</v>
      </c>
    </row>
    <row r="176" spans="1:13" ht="15.5" x14ac:dyDescent="0.35">
      <c r="A176" s="13">
        <v>46140</v>
      </c>
      <c r="B176" s="4">
        <v>2026</v>
      </c>
      <c r="C176" s="15">
        <v>18</v>
      </c>
      <c r="D176" s="8" t="s">
        <v>267</v>
      </c>
      <c r="E176" s="4" t="s">
        <v>348</v>
      </c>
      <c r="F176" s="4" t="s">
        <v>355</v>
      </c>
      <c r="G176" s="4"/>
      <c r="H176" s="8" t="s">
        <v>41</v>
      </c>
      <c r="I176" s="8" t="s">
        <v>11</v>
      </c>
      <c r="J176" s="8" t="s">
        <v>166</v>
      </c>
      <c r="K176" s="4" t="s">
        <v>442</v>
      </c>
      <c r="L176" s="8" t="s">
        <v>13</v>
      </c>
      <c r="M176" s="4" t="s">
        <v>14</v>
      </c>
    </row>
    <row r="177" spans="1:13" ht="15.5" x14ac:dyDescent="0.35">
      <c r="A177" s="13">
        <v>46140</v>
      </c>
      <c r="B177" s="4">
        <v>2026</v>
      </c>
      <c r="C177" s="15">
        <v>18</v>
      </c>
      <c r="D177" s="8" t="s">
        <v>268</v>
      </c>
      <c r="E177" s="4" t="s">
        <v>348</v>
      </c>
      <c r="F177" s="4" t="s">
        <v>355</v>
      </c>
      <c r="G177" s="4"/>
      <c r="H177" s="8" t="s">
        <v>38</v>
      </c>
      <c r="I177" s="8" t="s">
        <v>11</v>
      </c>
      <c r="J177" s="8" t="s">
        <v>49</v>
      </c>
      <c r="K177" s="4" t="s">
        <v>442</v>
      </c>
      <c r="L177" s="8" t="s">
        <v>13</v>
      </c>
      <c r="M177" s="4" t="s">
        <v>14</v>
      </c>
    </row>
    <row r="178" spans="1:13" ht="15.5" x14ac:dyDescent="0.35">
      <c r="A178" s="13">
        <v>46140</v>
      </c>
      <c r="B178" s="4">
        <v>2026</v>
      </c>
      <c r="C178" s="15">
        <v>18</v>
      </c>
      <c r="D178" s="8" t="s">
        <v>269</v>
      </c>
      <c r="E178" s="4" t="s">
        <v>348</v>
      </c>
      <c r="F178" s="4" t="s">
        <v>355</v>
      </c>
      <c r="G178" s="4"/>
      <c r="H178" s="8" t="s">
        <v>27</v>
      </c>
      <c r="I178" s="8" t="s">
        <v>11</v>
      </c>
      <c r="J178" s="8" t="s">
        <v>19</v>
      </c>
      <c r="K178" s="4" t="s">
        <v>442</v>
      </c>
      <c r="L178" s="8" t="s">
        <v>13</v>
      </c>
      <c r="M178" s="4" t="s">
        <v>14</v>
      </c>
    </row>
    <row r="179" spans="1:13" ht="15.5" x14ac:dyDescent="0.35">
      <c r="A179" s="13">
        <v>46140</v>
      </c>
      <c r="B179" s="4">
        <v>2026</v>
      </c>
      <c r="C179" s="15">
        <v>18</v>
      </c>
      <c r="D179" s="8" t="s">
        <v>270</v>
      </c>
      <c r="E179" s="4" t="s">
        <v>348</v>
      </c>
      <c r="F179" s="4" t="s">
        <v>355</v>
      </c>
      <c r="G179" s="4"/>
      <c r="H179" s="8" t="s">
        <v>41</v>
      </c>
      <c r="I179" s="8" t="s">
        <v>28</v>
      </c>
      <c r="J179" s="8" t="s">
        <v>271</v>
      </c>
      <c r="K179" s="4" t="s">
        <v>443</v>
      </c>
      <c r="L179" s="8" t="s">
        <v>13</v>
      </c>
      <c r="M179" s="4" t="s">
        <v>14</v>
      </c>
    </row>
    <row r="180" spans="1:13" ht="15.5" x14ac:dyDescent="0.35">
      <c r="A180" s="13">
        <v>46141</v>
      </c>
      <c r="B180" s="4">
        <v>2026</v>
      </c>
      <c r="C180" s="15">
        <v>18</v>
      </c>
      <c r="D180" s="8" t="s">
        <v>272</v>
      </c>
      <c r="E180" s="4" t="s">
        <v>348</v>
      </c>
      <c r="F180" s="4" t="s">
        <v>355</v>
      </c>
      <c r="G180" s="4"/>
      <c r="H180" s="8" t="s">
        <v>273</v>
      </c>
      <c r="I180" s="8" t="s">
        <v>11</v>
      </c>
      <c r="J180" s="8" t="s">
        <v>49</v>
      </c>
      <c r="K180" s="4" t="s">
        <v>442</v>
      </c>
      <c r="L180" s="8" t="s">
        <v>13</v>
      </c>
      <c r="M180" s="4" t="s">
        <v>14</v>
      </c>
    </row>
    <row r="181" spans="1:13" ht="15.5" x14ac:dyDescent="0.35">
      <c r="A181" s="13">
        <v>46141</v>
      </c>
      <c r="B181" s="4">
        <v>2026</v>
      </c>
      <c r="C181" s="15">
        <v>18</v>
      </c>
      <c r="D181" s="8" t="s">
        <v>274</v>
      </c>
      <c r="E181" s="4" t="s">
        <v>348</v>
      </c>
      <c r="F181" s="4" t="s">
        <v>355</v>
      </c>
      <c r="G181" s="4"/>
      <c r="H181" s="8" t="s">
        <v>27</v>
      </c>
      <c r="I181" s="8" t="s">
        <v>11</v>
      </c>
      <c r="J181" s="8" t="s">
        <v>115</v>
      </c>
      <c r="K181" s="4" t="s">
        <v>442</v>
      </c>
      <c r="L181" s="8" t="s">
        <v>13</v>
      </c>
      <c r="M181" s="4" t="s">
        <v>14</v>
      </c>
    </row>
    <row r="182" spans="1:13" ht="15.5" x14ac:dyDescent="0.35">
      <c r="A182" s="13">
        <v>46142</v>
      </c>
      <c r="B182" s="4">
        <v>2026</v>
      </c>
      <c r="C182" s="15">
        <v>18</v>
      </c>
      <c r="D182" s="8" t="s">
        <v>275</v>
      </c>
      <c r="E182" s="4" t="s">
        <v>348</v>
      </c>
      <c r="F182" s="4" t="s">
        <v>355</v>
      </c>
      <c r="G182" s="4"/>
      <c r="H182" s="8" t="s">
        <v>83</v>
      </c>
      <c r="I182" s="8" t="s">
        <v>28</v>
      </c>
      <c r="J182" s="8" t="s">
        <v>49</v>
      </c>
      <c r="K182" s="4" t="s">
        <v>442</v>
      </c>
      <c r="L182" s="8" t="s">
        <v>13</v>
      </c>
      <c r="M182" s="4" t="s">
        <v>14</v>
      </c>
    </row>
    <row r="183" spans="1:13" ht="15.5" x14ac:dyDescent="0.35">
      <c r="A183" s="13">
        <v>46146</v>
      </c>
      <c r="B183" s="4">
        <v>2026</v>
      </c>
      <c r="C183" s="15">
        <v>19</v>
      </c>
      <c r="D183" s="8" t="s">
        <v>276</v>
      </c>
      <c r="E183" s="4" t="s">
        <v>349</v>
      </c>
      <c r="F183" s="4" t="s">
        <v>356</v>
      </c>
      <c r="G183" s="4">
        <v>59</v>
      </c>
      <c r="H183" s="8" t="s">
        <v>277</v>
      </c>
      <c r="I183" s="8" t="s">
        <v>11</v>
      </c>
      <c r="J183" s="8" t="s">
        <v>39</v>
      </c>
      <c r="K183" s="4" t="s">
        <v>443</v>
      </c>
      <c r="L183" s="6" t="s">
        <v>76</v>
      </c>
      <c r="M183" s="4" t="s">
        <v>14</v>
      </c>
    </row>
    <row r="184" spans="1:13" ht="15.5" x14ac:dyDescent="0.35">
      <c r="A184" s="13">
        <v>46146</v>
      </c>
      <c r="B184" s="4">
        <v>2026</v>
      </c>
      <c r="C184" s="15">
        <v>19</v>
      </c>
      <c r="D184" s="8" t="s">
        <v>278</v>
      </c>
      <c r="E184" s="4" t="s">
        <v>349</v>
      </c>
      <c r="F184" s="4" t="s">
        <v>356</v>
      </c>
      <c r="G184" s="4"/>
      <c r="H184" s="8" t="s">
        <v>41</v>
      </c>
      <c r="I184" s="8" t="s">
        <v>28</v>
      </c>
      <c r="J184" s="8" t="s">
        <v>33</v>
      </c>
      <c r="K184" s="4" t="s">
        <v>442</v>
      </c>
      <c r="L184" s="8" t="s">
        <v>13</v>
      </c>
      <c r="M184" s="4" t="s">
        <v>14</v>
      </c>
    </row>
    <row r="185" spans="1:13" ht="15.5" x14ac:dyDescent="0.35">
      <c r="A185" s="13">
        <v>46146</v>
      </c>
      <c r="B185" s="4">
        <v>2026</v>
      </c>
      <c r="C185" s="15">
        <v>19</v>
      </c>
      <c r="D185" s="8" t="s">
        <v>279</v>
      </c>
      <c r="E185" s="4" t="s">
        <v>349</v>
      </c>
      <c r="F185" s="4" t="s">
        <v>356</v>
      </c>
      <c r="G185" s="4"/>
      <c r="H185" s="8" t="s">
        <v>53</v>
      </c>
      <c r="I185" s="8" t="s">
        <v>11</v>
      </c>
      <c r="J185" s="8" t="s">
        <v>203</v>
      </c>
      <c r="K185" s="4" t="s">
        <v>443</v>
      </c>
      <c r="L185" s="8" t="s">
        <v>13</v>
      </c>
      <c r="M185" s="4" t="s">
        <v>14</v>
      </c>
    </row>
    <row r="186" spans="1:13" ht="15.5" x14ac:dyDescent="0.35">
      <c r="A186" s="13">
        <v>46146</v>
      </c>
      <c r="B186" s="4">
        <v>2026</v>
      </c>
      <c r="C186" s="15">
        <v>19</v>
      </c>
      <c r="D186" s="8" t="s">
        <v>280</v>
      </c>
      <c r="E186" s="4" t="s">
        <v>349</v>
      </c>
      <c r="F186" s="4" t="s">
        <v>356</v>
      </c>
      <c r="G186" s="4"/>
      <c r="H186" s="8" t="s">
        <v>41</v>
      </c>
      <c r="I186" s="8" t="s">
        <v>11</v>
      </c>
      <c r="J186" s="8" t="s">
        <v>33</v>
      </c>
      <c r="K186" s="4" t="s">
        <v>442</v>
      </c>
      <c r="L186" s="8" t="s">
        <v>13</v>
      </c>
      <c r="M186" s="4" t="s">
        <v>14</v>
      </c>
    </row>
    <row r="187" spans="1:13" ht="15.5" x14ac:dyDescent="0.35">
      <c r="A187" s="13">
        <v>46146</v>
      </c>
      <c r="B187" s="4">
        <v>2026</v>
      </c>
      <c r="C187" s="15">
        <v>19</v>
      </c>
      <c r="D187" s="8" t="s">
        <v>281</v>
      </c>
      <c r="E187" s="4" t="s">
        <v>349</v>
      </c>
      <c r="F187" s="4" t="s">
        <v>356</v>
      </c>
      <c r="G187" s="4"/>
      <c r="H187" s="8" t="s">
        <v>41</v>
      </c>
      <c r="I187" s="8" t="s">
        <v>28</v>
      </c>
      <c r="J187" s="8"/>
      <c r="K187" s="8"/>
      <c r="L187" s="8" t="s">
        <v>13</v>
      </c>
      <c r="M187" s="4" t="s">
        <v>14</v>
      </c>
    </row>
    <row r="188" spans="1:13" ht="15.5" x14ac:dyDescent="0.35">
      <c r="A188" s="13">
        <v>46147</v>
      </c>
      <c r="B188" s="4">
        <v>2026</v>
      </c>
      <c r="C188" s="15">
        <v>19</v>
      </c>
      <c r="D188" s="8" t="s">
        <v>282</v>
      </c>
      <c r="E188" s="4" t="s">
        <v>349</v>
      </c>
      <c r="F188" s="4" t="s">
        <v>356</v>
      </c>
      <c r="G188" s="4"/>
      <c r="H188" s="8" t="s">
        <v>71</v>
      </c>
      <c r="I188" s="8" t="s">
        <v>11</v>
      </c>
      <c r="J188" s="8" t="s">
        <v>31</v>
      </c>
      <c r="K188" s="4" t="s">
        <v>442</v>
      </c>
      <c r="L188" s="8" t="s">
        <v>13</v>
      </c>
      <c r="M188" s="4" t="s">
        <v>14</v>
      </c>
    </row>
    <row r="189" spans="1:13" ht="15.5" x14ac:dyDescent="0.35">
      <c r="A189" s="13">
        <v>46147</v>
      </c>
      <c r="B189" s="4">
        <v>2026</v>
      </c>
      <c r="C189" s="15">
        <v>19</v>
      </c>
      <c r="D189" s="8" t="s">
        <v>283</v>
      </c>
      <c r="E189" s="4" t="s">
        <v>349</v>
      </c>
      <c r="F189" s="4" t="s">
        <v>356</v>
      </c>
      <c r="G189" s="4"/>
      <c r="H189" s="8" t="s">
        <v>41</v>
      </c>
      <c r="I189" s="8" t="s">
        <v>28</v>
      </c>
      <c r="J189" s="8" t="s">
        <v>31</v>
      </c>
      <c r="K189" s="4" t="s">
        <v>442</v>
      </c>
      <c r="L189" s="8" t="s">
        <v>13</v>
      </c>
      <c r="M189" s="4" t="s">
        <v>14</v>
      </c>
    </row>
    <row r="190" spans="1:13" ht="15.5" x14ac:dyDescent="0.35">
      <c r="A190" s="13">
        <v>46147</v>
      </c>
      <c r="B190" s="4">
        <v>2026</v>
      </c>
      <c r="C190" s="15">
        <v>19</v>
      </c>
      <c r="D190" s="8" t="s">
        <v>284</v>
      </c>
      <c r="E190" s="4" t="s">
        <v>349</v>
      </c>
      <c r="F190" s="4" t="s">
        <v>356</v>
      </c>
      <c r="G190" s="4"/>
      <c r="H190" s="8" t="s">
        <v>207</v>
      </c>
      <c r="I190" s="8" t="s">
        <v>11</v>
      </c>
      <c r="J190" s="8" t="s">
        <v>143</v>
      </c>
      <c r="K190" s="4" t="s">
        <v>442</v>
      </c>
      <c r="L190" s="8" t="s">
        <v>13</v>
      </c>
      <c r="M190" s="4" t="s">
        <v>14</v>
      </c>
    </row>
    <row r="191" spans="1:13" ht="15.5" x14ac:dyDescent="0.35">
      <c r="A191" s="13">
        <v>46147</v>
      </c>
      <c r="B191" s="4">
        <v>2026</v>
      </c>
      <c r="C191" s="15">
        <v>19</v>
      </c>
      <c r="D191" s="8" t="s">
        <v>285</v>
      </c>
      <c r="E191" s="4" t="s">
        <v>349</v>
      </c>
      <c r="F191" s="4" t="s">
        <v>356</v>
      </c>
      <c r="G191" s="4"/>
      <c r="H191" s="8" t="s">
        <v>41</v>
      </c>
      <c r="I191" s="8" t="s">
        <v>11</v>
      </c>
      <c r="J191" s="8" t="s">
        <v>31</v>
      </c>
      <c r="K191" s="4" t="s">
        <v>442</v>
      </c>
      <c r="L191" s="8" t="s">
        <v>13</v>
      </c>
      <c r="M191" s="4" t="s">
        <v>14</v>
      </c>
    </row>
    <row r="192" spans="1:13" ht="15.5" x14ac:dyDescent="0.35">
      <c r="A192" s="13">
        <v>46147</v>
      </c>
      <c r="B192" s="4">
        <v>2026</v>
      </c>
      <c r="C192" s="15">
        <v>19</v>
      </c>
      <c r="D192" s="8" t="s">
        <v>286</v>
      </c>
      <c r="E192" s="4" t="s">
        <v>349</v>
      </c>
      <c r="F192" s="4" t="s">
        <v>356</v>
      </c>
      <c r="G192" s="4"/>
      <c r="H192" s="8" t="s">
        <v>27</v>
      </c>
      <c r="I192" s="8" t="s">
        <v>11</v>
      </c>
      <c r="J192" s="8" t="s">
        <v>31</v>
      </c>
      <c r="K192" s="4" t="s">
        <v>442</v>
      </c>
      <c r="L192" s="8" t="s">
        <v>13</v>
      </c>
      <c r="M192" s="4" t="s">
        <v>14</v>
      </c>
    </row>
    <row r="193" spans="1:13" ht="15.5" x14ac:dyDescent="0.35">
      <c r="A193" s="13">
        <v>46147</v>
      </c>
      <c r="B193" s="4">
        <v>2026</v>
      </c>
      <c r="C193" s="15">
        <v>19</v>
      </c>
      <c r="D193" s="8" t="s">
        <v>287</v>
      </c>
      <c r="E193" s="4" t="s">
        <v>349</v>
      </c>
      <c r="F193" s="4" t="s">
        <v>356</v>
      </c>
      <c r="G193" s="4"/>
      <c r="H193" s="8" t="s">
        <v>41</v>
      </c>
      <c r="I193" s="8" t="s">
        <v>11</v>
      </c>
      <c r="J193" s="8" t="s">
        <v>31</v>
      </c>
      <c r="K193" s="4" t="s">
        <v>442</v>
      </c>
      <c r="L193" s="8" t="s">
        <v>13</v>
      </c>
      <c r="M193" s="4" t="s">
        <v>14</v>
      </c>
    </row>
    <row r="194" spans="1:13" ht="15.5" x14ac:dyDescent="0.35">
      <c r="A194" s="13">
        <v>46147</v>
      </c>
      <c r="B194" s="4">
        <v>2026</v>
      </c>
      <c r="C194" s="15">
        <v>19</v>
      </c>
      <c r="D194" s="8" t="s">
        <v>288</v>
      </c>
      <c r="E194" s="4" t="s">
        <v>349</v>
      </c>
      <c r="F194" s="4" t="s">
        <v>356</v>
      </c>
      <c r="G194" s="4"/>
      <c r="H194" s="8" t="s">
        <v>55</v>
      </c>
      <c r="I194" s="8" t="s">
        <v>11</v>
      </c>
      <c r="J194" s="8" t="s">
        <v>36</v>
      </c>
      <c r="K194" s="4" t="s">
        <v>442</v>
      </c>
      <c r="L194" s="8" t="s">
        <v>13</v>
      </c>
      <c r="M194" s="4" t="s">
        <v>14</v>
      </c>
    </row>
    <row r="195" spans="1:13" ht="15.5" x14ac:dyDescent="0.35">
      <c r="A195" s="13">
        <v>46147</v>
      </c>
      <c r="B195" s="4">
        <v>2026</v>
      </c>
      <c r="C195" s="15">
        <v>19</v>
      </c>
      <c r="D195" s="8" t="s">
        <v>289</v>
      </c>
      <c r="E195" s="4" t="s">
        <v>349</v>
      </c>
      <c r="F195" s="4" t="s">
        <v>356</v>
      </c>
      <c r="G195" s="4"/>
      <c r="H195" s="8" t="s">
        <v>38</v>
      </c>
      <c r="I195" s="8" t="s">
        <v>11</v>
      </c>
      <c r="J195" s="8" t="s">
        <v>290</v>
      </c>
      <c r="K195" s="4" t="s">
        <v>443</v>
      </c>
      <c r="L195" s="8" t="s">
        <v>13</v>
      </c>
      <c r="M195" s="4" t="s">
        <v>14</v>
      </c>
    </row>
    <row r="196" spans="1:13" ht="15.5" x14ac:dyDescent="0.35">
      <c r="A196" s="13">
        <v>46148</v>
      </c>
      <c r="B196" s="4">
        <v>2026</v>
      </c>
      <c r="C196" s="15">
        <v>19</v>
      </c>
      <c r="D196" s="8" t="s">
        <v>291</v>
      </c>
      <c r="E196" s="4" t="s">
        <v>349</v>
      </c>
      <c r="F196" s="4" t="s">
        <v>356</v>
      </c>
      <c r="G196" s="4"/>
      <c r="H196" s="8" t="s">
        <v>292</v>
      </c>
      <c r="I196" s="8" t="s">
        <v>28</v>
      </c>
      <c r="J196" s="8" t="s">
        <v>92</v>
      </c>
      <c r="K196" s="4" t="s">
        <v>442</v>
      </c>
      <c r="L196" s="8" t="s">
        <v>13</v>
      </c>
      <c r="M196" s="4" t="s">
        <v>14</v>
      </c>
    </row>
    <row r="197" spans="1:13" ht="15.5" x14ac:dyDescent="0.35">
      <c r="A197" s="13">
        <v>46148</v>
      </c>
      <c r="B197" s="4">
        <v>2026</v>
      </c>
      <c r="C197" s="15">
        <v>19</v>
      </c>
      <c r="D197" s="8" t="s">
        <v>293</v>
      </c>
      <c r="E197" s="4" t="s">
        <v>349</v>
      </c>
      <c r="F197" s="4" t="s">
        <v>356</v>
      </c>
      <c r="G197" s="4"/>
      <c r="H197" s="8" t="s">
        <v>38</v>
      </c>
      <c r="I197" s="8" t="s">
        <v>11</v>
      </c>
      <c r="J197" s="8" t="s">
        <v>33</v>
      </c>
      <c r="K197" s="4" t="s">
        <v>442</v>
      </c>
      <c r="L197" s="8" t="s">
        <v>13</v>
      </c>
      <c r="M197" s="4" t="s">
        <v>14</v>
      </c>
    </row>
    <row r="198" spans="1:13" ht="15.5" x14ac:dyDescent="0.35">
      <c r="A198" s="13">
        <v>46149</v>
      </c>
      <c r="B198" s="4">
        <v>2026</v>
      </c>
      <c r="C198" s="15">
        <v>19</v>
      </c>
      <c r="D198" s="8" t="s">
        <v>294</v>
      </c>
      <c r="E198" s="4" t="s">
        <v>349</v>
      </c>
      <c r="F198" s="4" t="s">
        <v>356</v>
      </c>
      <c r="G198" s="4"/>
      <c r="H198" s="8" t="s">
        <v>41</v>
      </c>
      <c r="I198" s="8" t="s">
        <v>28</v>
      </c>
      <c r="J198" s="8" t="s">
        <v>166</v>
      </c>
      <c r="K198" s="4" t="s">
        <v>442</v>
      </c>
      <c r="L198" s="8" t="s">
        <v>13</v>
      </c>
      <c r="M198" s="4" t="s">
        <v>14</v>
      </c>
    </row>
    <row r="199" spans="1:13" ht="15.5" x14ac:dyDescent="0.35">
      <c r="A199" s="13">
        <v>46149</v>
      </c>
      <c r="B199" s="4">
        <v>2026</v>
      </c>
      <c r="C199" s="15">
        <v>19</v>
      </c>
      <c r="D199" s="8" t="s">
        <v>295</v>
      </c>
      <c r="E199" s="4" t="s">
        <v>349</v>
      </c>
      <c r="F199" s="4" t="s">
        <v>356</v>
      </c>
      <c r="G199" s="4"/>
      <c r="H199" s="8" t="s">
        <v>41</v>
      </c>
      <c r="I199" s="8" t="s">
        <v>28</v>
      </c>
      <c r="J199" s="8"/>
      <c r="K199" s="8"/>
      <c r="L199" s="8" t="s">
        <v>13</v>
      </c>
      <c r="M199" s="4" t="s">
        <v>14</v>
      </c>
    </row>
    <row r="200" spans="1:13" ht="15.5" x14ac:dyDescent="0.35">
      <c r="A200" s="13">
        <v>46149</v>
      </c>
      <c r="B200" s="4">
        <v>2026</v>
      </c>
      <c r="C200" s="15">
        <v>19</v>
      </c>
      <c r="D200" s="8" t="s">
        <v>296</v>
      </c>
      <c r="E200" s="4" t="s">
        <v>349</v>
      </c>
      <c r="F200" s="4" t="s">
        <v>356</v>
      </c>
      <c r="G200" s="4"/>
      <c r="H200" s="8" t="s">
        <v>41</v>
      </c>
      <c r="I200" s="8" t="s">
        <v>28</v>
      </c>
      <c r="J200" s="8" t="s">
        <v>42</v>
      </c>
      <c r="K200" s="4" t="s">
        <v>442</v>
      </c>
      <c r="L200" s="8" t="s">
        <v>13</v>
      </c>
      <c r="M200" s="4" t="s">
        <v>14</v>
      </c>
    </row>
    <row r="201" spans="1:13" ht="15.5" x14ac:dyDescent="0.35">
      <c r="A201" s="13">
        <v>46150</v>
      </c>
      <c r="B201" s="4">
        <v>2026</v>
      </c>
      <c r="C201" s="15">
        <v>19</v>
      </c>
      <c r="D201" s="8" t="s">
        <v>297</v>
      </c>
      <c r="E201" s="4" t="s">
        <v>349</v>
      </c>
      <c r="F201" s="4" t="s">
        <v>356</v>
      </c>
      <c r="G201" s="4"/>
      <c r="H201" s="8" t="s">
        <v>298</v>
      </c>
      <c r="I201" s="8" t="s">
        <v>11</v>
      </c>
      <c r="J201" s="8" t="s">
        <v>42</v>
      </c>
      <c r="K201" s="4" t="s">
        <v>442</v>
      </c>
      <c r="L201" s="8" t="s">
        <v>13</v>
      </c>
      <c r="M201" s="4" t="s">
        <v>14</v>
      </c>
    </row>
    <row r="202" spans="1:13" ht="15.5" x14ac:dyDescent="0.35">
      <c r="A202" s="13">
        <v>46150</v>
      </c>
      <c r="B202" s="4">
        <v>2026</v>
      </c>
      <c r="C202" s="15">
        <v>19</v>
      </c>
      <c r="D202" s="8" t="s">
        <v>299</v>
      </c>
      <c r="E202" s="4" t="s">
        <v>349</v>
      </c>
      <c r="F202" s="4" t="s">
        <v>356</v>
      </c>
      <c r="G202" s="4"/>
      <c r="H202" s="8" t="s">
        <v>300</v>
      </c>
      <c r="I202" s="8" t="s">
        <v>11</v>
      </c>
      <c r="J202" s="8" t="s">
        <v>166</v>
      </c>
      <c r="K202" s="4" t="s">
        <v>442</v>
      </c>
      <c r="L202" s="8" t="s">
        <v>13</v>
      </c>
      <c r="M202" s="4" t="s">
        <v>14</v>
      </c>
    </row>
    <row r="203" spans="1:13" ht="15.5" x14ac:dyDescent="0.35">
      <c r="A203" s="13">
        <v>46153</v>
      </c>
      <c r="B203" s="4">
        <v>2026</v>
      </c>
      <c r="C203" s="15">
        <v>20</v>
      </c>
      <c r="D203" s="8" t="s">
        <v>301</v>
      </c>
      <c r="E203" s="4" t="s">
        <v>349</v>
      </c>
      <c r="F203" s="4" t="s">
        <v>356</v>
      </c>
      <c r="G203" s="4"/>
      <c r="H203" s="8" t="s">
        <v>302</v>
      </c>
      <c r="I203" s="8" t="s">
        <v>11</v>
      </c>
      <c r="J203" s="8" t="s">
        <v>173</v>
      </c>
      <c r="K203" s="4" t="s">
        <v>442</v>
      </c>
      <c r="L203" s="8" t="s">
        <v>13</v>
      </c>
      <c r="M203" s="4" t="s">
        <v>14</v>
      </c>
    </row>
    <row r="204" spans="1:13" ht="17" x14ac:dyDescent="0.5">
      <c r="A204" s="13">
        <v>46153</v>
      </c>
      <c r="B204" s="4">
        <v>2026</v>
      </c>
      <c r="C204" s="15">
        <v>20</v>
      </c>
      <c r="D204" s="8" t="s">
        <v>303</v>
      </c>
      <c r="E204" s="4" t="s">
        <v>349</v>
      </c>
      <c r="F204" s="4" t="s">
        <v>356</v>
      </c>
      <c r="G204" s="4"/>
      <c r="H204" s="8" t="s">
        <v>41</v>
      </c>
      <c r="I204" s="8" t="s">
        <v>11</v>
      </c>
      <c r="J204" s="8" t="s">
        <v>22</v>
      </c>
      <c r="K204" s="4" t="s">
        <v>442</v>
      </c>
      <c r="L204" s="9" t="s">
        <v>140</v>
      </c>
      <c r="M204" s="4" t="s">
        <v>14</v>
      </c>
    </row>
    <row r="205" spans="1:13" ht="15.5" x14ac:dyDescent="0.35">
      <c r="A205" s="13">
        <v>46153</v>
      </c>
      <c r="B205" s="4">
        <v>2026</v>
      </c>
      <c r="C205" s="15">
        <v>20</v>
      </c>
      <c r="D205" s="8" t="s">
        <v>304</v>
      </c>
      <c r="E205" s="4" t="s">
        <v>349</v>
      </c>
      <c r="F205" s="4" t="s">
        <v>356</v>
      </c>
      <c r="G205" s="4"/>
      <c r="H205" s="8" t="s">
        <v>41</v>
      </c>
      <c r="I205" s="8" t="s">
        <v>28</v>
      </c>
      <c r="J205" s="8" t="s">
        <v>84</v>
      </c>
      <c r="K205" s="4" t="s">
        <v>442</v>
      </c>
      <c r="L205" s="8" t="s">
        <v>13</v>
      </c>
      <c r="M205" s="4" t="s">
        <v>14</v>
      </c>
    </row>
    <row r="206" spans="1:13" ht="15.5" x14ac:dyDescent="0.35">
      <c r="A206" s="13">
        <v>46153</v>
      </c>
      <c r="B206" s="4">
        <v>2026</v>
      </c>
      <c r="C206" s="15">
        <v>20</v>
      </c>
      <c r="D206" s="8" t="s">
        <v>305</v>
      </c>
      <c r="E206" s="4" t="s">
        <v>349</v>
      </c>
      <c r="F206" s="4" t="s">
        <v>356</v>
      </c>
      <c r="G206" s="4"/>
      <c r="H206" s="8" t="s">
        <v>41</v>
      </c>
      <c r="I206" s="8" t="s">
        <v>28</v>
      </c>
      <c r="J206" s="8" t="s">
        <v>237</v>
      </c>
      <c r="K206" s="4" t="s">
        <v>442</v>
      </c>
      <c r="L206" s="8" t="s">
        <v>13</v>
      </c>
      <c r="M206" s="4" t="s">
        <v>14</v>
      </c>
    </row>
    <row r="207" spans="1:13" ht="15.5" x14ac:dyDescent="0.35">
      <c r="A207" s="13">
        <v>46154</v>
      </c>
      <c r="B207" s="4">
        <v>2026</v>
      </c>
      <c r="C207" s="15">
        <v>20</v>
      </c>
      <c r="D207" s="8" t="s">
        <v>306</v>
      </c>
      <c r="E207" s="4" t="s">
        <v>349</v>
      </c>
      <c r="F207" s="4" t="s">
        <v>356</v>
      </c>
      <c r="G207" s="4"/>
      <c r="H207" s="8" t="s">
        <v>41</v>
      </c>
      <c r="I207" s="8" t="s">
        <v>28</v>
      </c>
      <c r="J207" s="8" t="s">
        <v>307</v>
      </c>
      <c r="K207" s="4" t="s">
        <v>442</v>
      </c>
      <c r="L207" s="8" t="s">
        <v>13</v>
      </c>
      <c r="M207" s="4" t="s">
        <v>14</v>
      </c>
    </row>
    <row r="208" spans="1:13" ht="15.5" x14ac:dyDescent="0.35">
      <c r="A208" s="13">
        <v>46155</v>
      </c>
      <c r="B208" s="4">
        <v>2026</v>
      </c>
      <c r="C208" s="15">
        <v>20</v>
      </c>
      <c r="D208" s="8" t="s">
        <v>224</v>
      </c>
      <c r="E208" s="4" t="s">
        <v>349</v>
      </c>
      <c r="F208" s="4" t="s">
        <v>356</v>
      </c>
      <c r="G208" s="4"/>
      <c r="H208" s="8" t="s">
        <v>21</v>
      </c>
      <c r="I208" s="8" t="s">
        <v>28</v>
      </c>
      <c r="J208" s="8" t="s">
        <v>92</v>
      </c>
      <c r="K208" s="4" t="s">
        <v>442</v>
      </c>
      <c r="L208" s="8" t="s">
        <v>13</v>
      </c>
      <c r="M208" s="4" t="s">
        <v>14</v>
      </c>
    </row>
    <row r="209" spans="1:13" ht="15.5" x14ac:dyDescent="0.35">
      <c r="A209" s="13">
        <v>46155</v>
      </c>
      <c r="B209" s="4">
        <v>2026</v>
      </c>
      <c r="C209" s="15">
        <v>20</v>
      </c>
      <c r="D209" s="8" t="s">
        <v>308</v>
      </c>
      <c r="E209" s="4" t="s">
        <v>349</v>
      </c>
      <c r="F209" s="4" t="s">
        <v>356</v>
      </c>
      <c r="G209" s="4"/>
      <c r="H209" s="8" t="s">
        <v>57</v>
      </c>
      <c r="I209" s="8" t="s">
        <v>11</v>
      </c>
      <c r="J209" s="8" t="s">
        <v>46</v>
      </c>
      <c r="K209" s="4" t="s">
        <v>443</v>
      </c>
      <c r="L209" s="8" t="s">
        <v>13</v>
      </c>
      <c r="M209" s="4" t="s">
        <v>14</v>
      </c>
    </row>
    <row r="210" spans="1:13" ht="15.5" x14ac:dyDescent="0.35">
      <c r="A210" s="13">
        <v>46155</v>
      </c>
      <c r="B210" s="4">
        <v>2026</v>
      </c>
      <c r="C210" s="15">
        <v>20</v>
      </c>
      <c r="D210" s="8" t="s">
        <v>309</v>
      </c>
      <c r="E210" s="4" t="s">
        <v>349</v>
      </c>
      <c r="F210" s="4" t="s">
        <v>356</v>
      </c>
      <c r="G210" s="4"/>
      <c r="H210" s="8" t="s">
        <v>41</v>
      </c>
      <c r="I210" s="8" t="s">
        <v>11</v>
      </c>
      <c r="J210" s="8" t="s">
        <v>39</v>
      </c>
      <c r="K210" s="4" t="s">
        <v>443</v>
      </c>
      <c r="L210" s="8" t="s">
        <v>13</v>
      </c>
      <c r="M210" s="4" t="s">
        <v>14</v>
      </c>
    </row>
    <row r="211" spans="1:13" ht="15.5" x14ac:dyDescent="0.35">
      <c r="A211" s="13">
        <v>46155</v>
      </c>
      <c r="B211" s="4">
        <v>2026</v>
      </c>
      <c r="C211" s="15">
        <v>20</v>
      </c>
      <c r="D211" s="8" t="s">
        <v>310</v>
      </c>
      <c r="E211" s="4" t="s">
        <v>349</v>
      </c>
      <c r="F211" s="4" t="s">
        <v>356</v>
      </c>
      <c r="G211" s="4"/>
      <c r="H211" s="8" t="s">
        <v>118</v>
      </c>
      <c r="I211" s="8" t="s">
        <v>28</v>
      </c>
      <c r="J211" s="8" t="s">
        <v>49</v>
      </c>
      <c r="K211" s="4" t="s">
        <v>442</v>
      </c>
      <c r="L211" s="8" t="s">
        <v>13</v>
      </c>
      <c r="M211" s="4" t="s">
        <v>14</v>
      </c>
    </row>
    <row r="212" spans="1:13" ht="15.5" x14ac:dyDescent="0.35">
      <c r="A212" s="13">
        <v>46157</v>
      </c>
      <c r="B212" s="4">
        <v>2026</v>
      </c>
      <c r="C212" s="15">
        <v>20</v>
      </c>
      <c r="D212" s="8" t="s">
        <v>311</v>
      </c>
      <c r="E212" s="4" t="s">
        <v>349</v>
      </c>
      <c r="F212" s="4" t="s">
        <v>356</v>
      </c>
      <c r="G212" s="4"/>
      <c r="H212" s="8" t="s">
        <v>41</v>
      </c>
      <c r="I212" s="8" t="s">
        <v>28</v>
      </c>
      <c r="J212" s="8" t="s">
        <v>166</v>
      </c>
      <c r="K212" s="4" t="s">
        <v>442</v>
      </c>
      <c r="L212" s="8" t="s">
        <v>13</v>
      </c>
      <c r="M212" s="4" t="s">
        <v>14</v>
      </c>
    </row>
    <row r="213" spans="1:13" ht="15.5" x14ac:dyDescent="0.35">
      <c r="A213" s="13">
        <v>46157</v>
      </c>
      <c r="B213" s="4">
        <v>2026</v>
      </c>
      <c r="C213" s="15">
        <v>20</v>
      </c>
      <c r="D213" s="8" t="s">
        <v>312</v>
      </c>
      <c r="E213" s="4" t="s">
        <v>349</v>
      </c>
      <c r="F213" s="4" t="s">
        <v>356</v>
      </c>
      <c r="G213" s="4"/>
      <c r="H213" s="8" t="s">
        <v>21</v>
      </c>
      <c r="I213" s="8" t="s">
        <v>28</v>
      </c>
      <c r="J213" s="8" t="s">
        <v>166</v>
      </c>
      <c r="K213" s="4" t="s">
        <v>442</v>
      </c>
      <c r="L213" s="8" t="s">
        <v>13</v>
      </c>
      <c r="M213" s="4" t="s">
        <v>14</v>
      </c>
    </row>
    <row r="214" spans="1:13" ht="15.5" x14ac:dyDescent="0.35">
      <c r="A214" s="13">
        <v>46157</v>
      </c>
      <c r="B214" s="4">
        <v>2026</v>
      </c>
      <c r="C214" s="15">
        <v>20</v>
      </c>
      <c r="D214" s="8" t="s">
        <v>313</v>
      </c>
      <c r="E214" s="4" t="s">
        <v>349</v>
      </c>
      <c r="F214" s="4" t="s">
        <v>356</v>
      </c>
      <c r="G214" s="4"/>
      <c r="H214" s="8" t="s">
        <v>41</v>
      </c>
      <c r="I214" s="8" t="s">
        <v>11</v>
      </c>
      <c r="J214" s="8"/>
      <c r="K214" s="8"/>
      <c r="L214" s="8" t="s">
        <v>13</v>
      </c>
      <c r="M214" s="4" t="s">
        <v>14</v>
      </c>
    </row>
    <row r="215" spans="1:13" ht="15.5" x14ac:dyDescent="0.35">
      <c r="A215" s="13">
        <v>46157</v>
      </c>
      <c r="B215" s="4">
        <v>2026</v>
      </c>
      <c r="C215" s="15">
        <v>20</v>
      </c>
      <c r="D215" s="8" t="s">
        <v>314</v>
      </c>
      <c r="E215" s="4" t="s">
        <v>349</v>
      </c>
      <c r="F215" s="4" t="s">
        <v>356</v>
      </c>
      <c r="G215" s="4"/>
      <c r="H215" s="8" t="s">
        <v>24</v>
      </c>
      <c r="I215" s="8" t="s">
        <v>11</v>
      </c>
      <c r="J215" s="8" t="s">
        <v>31</v>
      </c>
      <c r="K215" s="4" t="s">
        <v>442</v>
      </c>
      <c r="L215" s="8" t="s">
        <v>13</v>
      </c>
      <c r="M215" s="4" t="s">
        <v>14</v>
      </c>
    </row>
    <row r="216" spans="1:13" ht="15.5" x14ac:dyDescent="0.35">
      <c r="A216" s="13">
        <v>46157</v>
      </c>
      <c r="B216" s="4">
        <v>2026</v>
      </c>
      <c r="C216" s="15">
        <v>20</v>
      </c>
      <c r="D216" s="8" t="s">
        <v>315</v>
      </c>
      <c r="E216" s="4" t="s">
        <v>349</v>
      </c>
      <c r="F216" s="4" t="s">
        <v>356</v>
      </c>
      <c r="G216" s="4"/>
      <c r="H216" s="8" t="s">
        <v>41</v>
      </c>
      <c r="I216" s="8" t="s">
        <v>28</v>
      </c>
      <c r="J216" s="8"/>
      <c r="K216" s="8"/>
      <c r="L216" s="8" t="s">
        <v>13</v>
      </c>
      <c r="M216" s="4" t="s">
        <v>14</v>
      </c>
    </row>
    <row r="217" spans="1:13" ht="15.5" x14ac:dyDescent="0.35">
      <c r="A217" s="13">
        <v>46157</v>
      </c>
      <c r="B217" s="4">
        <v>2026</v>
      </c>
      <c r="C217" s="15">
        <v>20</v>
      </c>
      <c r="D217" s="8" t="s">
        <v>316</v>
      </c>
      <c r="E217" s="4" t="s">
        <v>349</v>
      </c>
      <c r="F217" s="4" t="s">
        <v>356</v>
      </c>
      <c r="G217" s="4"/>
      <c r="H217" s="8" t="s">
        <v>41</v>
      </c>
      <c r="I217" s="8" t="s">
        <v>11</v>
      </c>
      <c r="J217" s="8" t="s">
        <v>49</v>
      </c>
      <c r="K217" s="4" t="s">
        <v>442</v>
      </c>
      <c r="L217" s="8" t="s">
        <v>13</v>
      </c>
      <c r="M217" s="4" t="s">
        <v>14</v>
      </c>
    </row>
    <row r="218" spans="1:13" ht="15.5" x14ac:dyDescent="0.35">
      <c r="A218" s="13">
        <v>46157</v>
      </c>
      <c r="B218" s="4">
        <v>2026</v>
      </c>
      <c r="C218" s="15">
        <v>20</v>
      </c>
      <c r="D218" s="8" t="s">
        <v>317</v>
      </c>
      <c r="E218" s="4" t="s">
        <v>349</v>
      </c>
      <c r="F218" s="4" t="s">
        <v>356</v>
      </c>
      <c r="G218" s="4"/>
      <c r="H218" s="8" t="s">
        <v>41</v>
      </c>
      <c r="I218" s="8" t="s">
        <v>11</v>
      </c>
      <c r="J218" s="8" t="s">
        <v>84</v>
      </c>
      <c r="K218" s="4" t="s">
        <v>442</v>
      </c>
      <c r="L218" s="8" t="s">
        <v>13</v>
      </c>
      <c r="M218" s="4" t="s">
        <v>14</v>
      </c>
    </row>
    <row r="219" spans="1:13" ht="15.5" x14ac:dyDescent="0.35">
      <c r="A219" s="13">
        <v>46162</v>
      </c>
      <c r="B219" s="4">
        <v>2026</v>
      </c>
      <c r="C219" s="15">
        <v>21</v>
      </c>
      <c r="D219" s="8" t="s">
        <v>318</v>
      </c>
      <c r="E219" s="4" t="s">
        <v>349</v>
      </c>
      <c r="F219" s="4" t="s">
        <v>356</v>
      </c>
      <c r="G219" s="4"/>
      <c r="H219" s="8" t="s">
        <v>71</v>
      </c>
      <c r="I219" s="8" t="s">
        <v>28</v>
      </c>
      <c r="J219" s="8" t="s">
        <v>115</v>
      </c>
      <c r="K219" s="4" t="s">
        <v>442</v>
      </c>
      <c r="L219" s="8" t="s">
        <v>13</v>
      </c>
      <c r="M219" s="4" t="s">
        <v>14</v>
      </c>
    </row>
    <row r="220" spans="1:13" ht="15.5" x14ac:dyDescent="0.35">
      <c r="A220" s="13">
        <v>46163</v>
      </c>
      <c r="B220" s="4">
        <v>2026</v>
      </c>
      <c r="C220" s="15">
        <v>21</v>
      </c>
      <c r="D220" s="8" t="s">
        <v>319</v>
      </c>
      <c r="E220" s="4" t="s">
        <v>349</v>
      </c>
      <c r="F220" s="4" t="s">
        <v>356</v>
      </c>
      <c r="G220" s="4"/>
      <c r="H220" s="8" t="s">
        <v>41</v>
      </c>
      <c r="I220" s="8" t="s">
        <v>11</v>
      </c>
      <c r="J220" s="8" t="s">
        <v>320</v>
      </c>
      <c r="K220" s="4" t="s">
        <v>442</v>
      </c>
      <c r="L220" s="8" t="s">
        <v>13</v>
      </c>
      <c r="M220" s="4" t="s">
        <v>14</v>
      </c>
    </row>
    <row r="221" spans="1:13" ht="15.5" x14ac:dyDescent="0.35">
      <c r="A221" s="13">
        <v>46164</v>
      </c>
      <c r="B221" s="4">
        <v>2026</v>
      </c>
      <c r="C221" s="15">
        <v>21</v>
      </c>
      <c r="D221" s="8" t="s">
        <v>321</v>
      </c>
      <c r="E221" s="4" t="s">
        <v>349</v>
      </c>
      <c r="F221" s="4" t="s">
        <v>356</v>
      </c>
      <c r="G221" s="4"/>
      <c r="H221" s="8" t="s">
        <v>24</v>
      </c>
      <c r="I221" s="8" t="s">
        <v>11</v>
      </c>
      <c r="J221" s="8" t="s">
        <v>143</v>
      </c>
      <c r="K221" s="4" t="s">
        <v>442</v>
      </c>
      <c r="L221" s="8" t="s">
        <v>13</v>
      </c>
      <c r="M221" s="4" t="s">
        <v>14</v>
      </c>
    </row>
    <row r="222" spans="1:13" ht="15.5" x14ac:dyDescent="0.35">
      <c r="A222" s="13">
        <v>46164</v>
      </c>
      <c r="B222" s="4">
        <v>2026</v>
      </c>
      <c r="C222" s="15">
        <v>21</v>
      </c>
      <c r="D222" s="8" t="s">
        <v>322</v>
      </c>
      <c r="E222" s="4" t="s">
        <v>349</v>
      </c>
      <c r="F222" s="4" t="s">
        <v>356</v>
      </c>
      <c r="G222" s="4"/>
      <c r="H222" s="8" t="s">
        <v>38</v>
      </c>
      <c r="I222" s="8" t="s">
        <v>11</v>
      </c>
      <c r="J222" s="8"/>
      <c r="K222" s="8"/>
      <c r="L222" s="8" t="s">
        <v>13</v>
      </c>
      <c r="M222" s="4" t="s">
        <v>14</v>
      </c>
    </row>
    <row r="223" spans="1:13" ht="15.5" x14ac:dyDescent="0.35">
      <c r="A223" s="13">
        <v>46164</v>
      </c>
      <c r="B223" s="4">
        <v>2026</v>
      </c>
      <c r="C223" s="15">
        <v>21</v>
      </c>
      <c r="D223" s="8" t="s">
        <v>323</v>
      </c>
      <c r="E223" s="4" t="s">
        <v>349</v>
      </c>
      <c r="F223" s="4" t="s">
        <v>356</v>
      </c>
      <c r="G223" s="4"/>
      <c r="H223" s="8" t="s">
        <v>53</v>
      </c>
      <c r="I223" s="8" t="s">
        <v>28</v>
      </c>
      <c r="J223" s="8" t="s">
        <v>324</v>
      </c>
      <c r="K223" s="4" t="s">
        <v>443</v>
      </c>
      <c r="L223" s="8" t="s">
        <v>13</v>
      </c>
      <c r="M223" s="4" t="s">
        <v>14</v>
      </c>
    </row>
    <row r="224" spans="1:13" ht="15.5" x14ac:dyDescent="0.35">
      <c r="A224" s="13">
        <v>46164</v>
      </c>
      <c r="B224" s="4">
        <v>2026</v>
      </c>
      <c r="C224" s="15">
        <v>21</v>
      </c>
      <c r="D224" s="8" t="s">
        <v>325</v>
      </c>
      <c r="E224" s="4" t="s">
        <v>349</v>
      </c>
      <c r="F224" s="4" t="s">
        <v>356</v>
      </c>
      <c r="G224" s="4"/>
      <c r="H224" s="8" t="s">
        <v>41</v>
      </c>
      <c r="I224" s="8" t="s">
        <v>11</v>
      </c>
      <c r="J224" s="8"/>
      <c r="K224" s="8"/>
      <c r="L224" s="8" t="s">
        <v>13</v>
      </c>
      <c r="M224" s="4" t="s">
        <v>14</v>
      </c>
    </row>
    <row r="225" spans="1:13" ht="15.5" x14ac:dyDescent="0.35">
      <c r="A225" s="13">
        <v>46167</v>
      </c>
      <c r="B225" s="4">
        <v>2026</v>
      </c>
      <c r="C225" s="15">
        <v>22</v>
      </c>
      <c r="D225" s="8" t="s">
        <v>326</v>
      </c>
      <c r="E225" s="4" t="s">
        <v>349</v>
      </c>
      <c r="F225" s="4" t="s">
        <v>356</v>
      </c>
      <c r="G225" s="4"/>
      <c r="H225" s="8" t="s">
        <v>53</v>
      </c>
      <c r="I225" s="8" t="s">
        <v>11</v>
      </c>
      <c r="J225" s="8" t="s">
        <v>12</v>
      </c>
      <c r="K225" s="4" t="s">
        <v>442</v>
      </c>
      <c r="L225" s="10" t="s">
        <v>13</v>
      </c>
      <c r="M225" s="4" t="s">
        <v>14</v>
      </c>
    </row>
    <row r="226" spans="1:13" ht="17" x14ac:dyDescent="0.5">
      <c r="A226" s="13">
        <v>46168</v>
      </c>
      <c r="B226" s="4">
        <v>2026</v>
      </c>
      <c r="C226" s="15">
        <v>22</v>
      </c>
      <c r="D226" s="8" t="s">
        <v>327</v>
      </c>
      <c r="E226" s="4" t="s">
        <v>349</v>
      </c>
      <c r="F226" s="4" t="s">
        <v>356</v>
      </c>
      <c r="G226" s="4"/>
      <c r="H226" s="8" t="s">
        <v>10</v>
      </c>
      <c r="I226" s="8" t="s">
        <v>28</v>
      </c>
      <c r="J226" s="8" t="s">
        <v>42</v>
      </c>
      <c r="K226" s="4" t="s">
        <v>442</v>
      </c>
      <c r="L226" s="9" t="s">
        <v>140</v>
      </c>
      <c r="M226" s="4" t="s">
        <v>14</v>
      </c>
    </row>
    <row r="227" spans="1:13" ht="15.5" x14ac:dyDescent="0.35">
      <c r="A227" s="13">
        <v>46168</v>
      </c>
      <c r="B227" s="4">
        <v>2026</v>
      </c>
      <c r="C227" s="15">
        <v>22</v>
      </c>
      <c r="D227" s="8" t="s">
        <v>328</v>
      </c>
      <c r="E227" s="4" t="s">
        <v>349</v>
      </c>
      <c r="F227" s="4" t="s">
        <v>356</v>
      </c>
      <c r="G227" s="4"/>
      <c r="H227" s="8" t="s">
        <v>24</v>
      </c>
      <c r="I227" s="8" t="s">
        <v>28</v>
      </c>
      <c r="J227" s="8" t="s">
        <v>12</v>
      </c>
      <c r="K227" s="4" t="s">
        <v>442</v>
      </c>
      <c r="L227" s="8" t="s">
        <v>13</v>
      </c>
      <c r="M227" s="4" t="s">
        <v>14</v>
      </c>
    </row>
    <row r="228" spans="1:13" ht="15.5" x14ac:dyDescent="0.35">
      <c r="A228" s="13">
        <v>46168</v>
      </c>
      <c r="B228" s="4">
        <v>2026</v>
      </c>
      <c r="C228" s="15">
        <v>22</v>
      </c>
      <c r="D228" s="8" t="s">
        <v>329</v>
      </c>
      <c r="E228" s="4" t="s">
        <v>349</v>
      </c>
      <c r="F228" s="4" t="s">
        <v>356</v>
      </c>
      <c r="G228" s="4"/>
      <c r="H228" s="8" t="s">
        <v>330</v>
      </c>
      <c r="I228" s="8" t="s">
        <v>28</v>
      </c>
      <c r="J228" s="8" t="s">
        <v>331</v>
      </c>
      <c r="K228" s="4" t="s">
        <v>443</v>
      </c>
      <c r="L228" s="8" t="s">
        <v>13</v>
      </c>
      <c r="M228" s="4" t="s">
        <v>14</v>
      </c>
    </row>
    <row r="229" spans="1:13" ht="15.5" x14ac:dyDescent="0.35">
      <c r="A229" s="13">
        <v>46170</v>
      </c>
      <c r="B229" s="4">
        <v>2026</v>
      </c>
      <c r="C229" s="15">
        <v>22</v>
      </c>
      <c r="D229" s="8" t="s">
        <v>332</v>
      </c>
      <c r="E229" s="4" t="s">
        <v>349</v>
      </c>
      <c r="F229" s="4" t="s">
        <v>356</v>
      </c>
      <c r="G229" s="4"/>
      <c r="H229" s="8" t="s">
        <v>41</v>
      </c>
      <c r="I229" s="8" t="s">
        <v>11</v>
      </c>
      <c r="J229" s="8" t="s">
        <v>31</v>
      </c>
      <c r="K229" s="4" t="s">
        <v>442</v>
      </c>
      <c r="L229" s="8" t="s">
        <v>13</v>
      </c>
      <c r="M229" s="4" t="s">
        <v>14</v>
      </c>
    </row>
    <row r="230" spans="1:13" ht="15.5" x14ac:dyDescent="0.35">
      <c r="A230" s="13">
        <v>46171</v>
      </c>
      <c r="B230" s="4">
        <v>2026</v>
      </c>
      <c r="C230" s="15">
        <v>22</v>
      </c>
      <c r="D230" s="8" t="s">
        <v>333</v>
      </c>
      <c r="E230" s="4" t="s">
        <v>349</v>
      </c>
      <c r="F230" s="4" t="s">
        <v>356</v>
      </c>
      <c r="G230" s="4"/>
      <c r="H230" s="8" t="s">
        <v>24</v>
      </c>
      <c r="I230" s="8" t="s">
        <v>11</v>
      </c>
      <c r="J230" s="8" t="s">
        <v>31</v>
      </c>
      <c r="K230" s="4" t="s">
        <v>442</v>
      </c>
      <c r="L230" s="8" t="s">
        <v>13</v>
      </c>
      <c r="M230" s="4" t="s">
        <v>14</v>
      </c>
    </row>
    <row r="231" spans="1:13" ht="15.5" x14ac:dyDescent="0.35">
      <c r="A231" s="13">
        <v>46171</v>
      </c>
      <c r="B231" s="4">
        <v>2026</v>
      </c>
      <c r="C231" s="15">
        <v>22</v>
      </c>
      <c r="D231" s="8" t="s">
        <v>334</v>
      </c>
      <c r="E231" s="4" t="s">
        <v>349</v>
      </c>
      <c r="F231" s="4" t="s">
        <v>356</v>
      </c>
      <c r="G231" s="4"/>
      <c r="H231" s="8" t="s">
        <v>335</v>
      </c>
      <c r="I231" s="8" t="s">
        <v>11</v>
      </c>
      <c r="J231" s="8" t="s">
        <v>42</v>
      </c>
      <c r="K231" s="4" t="s">
        <v>442</v>
      </c>
      <c r="L231" s="8" t="s">
        <v>13</v>
      </c>
      <c r="M231" s="4" t="s">
        <v>14</v>
      </c>
    </row>
    <row r="232" spans="1:13" ht="15.5" x14ac:dyDescent="0.35">
      <c r="A232" s="13">
        <v>46171</v>
      </c>
      <c r="B232" s="4">
        <v>2026</v>
      </c>
      <c r="C232" s="15">
        <v>22</v>
      </c>
      <c r="D232" s="8" t="s">
        <v>336</v>
      </c>
      <c r="E232" s="4" t="s">
        <v>349</v>
      </c>
      <c r="F232" s="4" t="s">
        <v>356</v>
      </c>
      <c r="G232" s="4"/>
      <c r="H232" s="8" t="s">
        <v>41</v>
      </c>
      <c r="I232" s="8" t="s">
        <v>11</v>
      </c>
      <c r="J232" s="8" t="s">
        <v>84</v>
      </c>
      <c r="K232" s="4" t="s">
        <v>442</v>
      </c>
      <c r="L232" s="8" t="s">
        <v>13</v>
      </c>
      <c r="M232" s="4" t="s">
        <v>14</v>
      </c>
    </row>
    <row r="233" spans="1:13" ht="17" x14ac:dyDescent="0.5">
      <c r="A233" s="8" t="s">
        <v>373</v>
      </c>
      <c r="D233" s="8" t="s">
        <v>374</v>
      </c>
      <c r="E233" s="4">
        <v>6</v>
      </c>
      <c r="F233" s="8"/>
      <c r="H233" s="8" t="s">
        <v>41</v>
      </c>
      <c r="I233" s="8" t="s">
        <v>11</v>
      </c>
      <c r="J233" s="8" t="s">
        <v>166</v>
      </c>
      <c r="K233" s="16" t="s">
        <v>442</v>
      </c>
      <c r="L233" s="9" t="s">
        <v>140</v>
      </c>
      <c r="M233" s="4" t="s">
        <v>14</v>
      </c>
    </row>
    <row r="234" spans="1:13" ht="15.5" x14ac:dyDescent="0.35">
      <c r="A234" s="8" t="s">
        <v>373</v>
      </c>
      <c r="D234" s="8" t="s">
        <v>375</v>
      </c>
      <c r="E234" s="4">
        <v>6</v>
      </c>
      <c r="F234" s="8"/>
      <c r="H234" s="8" t="s">
        <v>41</v>
      </c>
      <c r="I234" s="8" t="s">
        <v>11</v>
      </c>
      <c r="J234" s="8" t="s">
        <v>143</v>
      </c>
      <c r="K234" s="16" t="s">
        <v>442</v>
      </c>
      <c r="L234" s="8" t="s">
        <v>88</v>
      </c>
      <c r="M234" s="4" t="s">
        <v>14</v>
      </c>
    </row>
    <row r="235" spans="1:13" ht="15.5" x14ac:dyDescent="0.35">
      <c r="A235" s="8" t="s">
        <v>373</v>
      </c>
      <c r="D235" s="8" t="s">
        <v>376</v>
      </c>
      <c r="E235" s="4">
        <v>6</v>
      </c>
      <c r="F235" s="8"/>
      <c r="H235" s="8" t="s">
        <v>41</v>
      </c>
      <c r="I235" s="8" t="s">
        <v>28</v>
      </c>
      <c r="J235" s="8" t="s">
        <v>166</v>
      </c>
      <c r="K235" s="16" t="s">
        <v>442</v>
      </c>
      <c r="L235" s="8" t="s">
        <v>88</v>
      </c>
      <c r="M235" s="4" t="s">
        <v>14</v>
      </c>
    </row>
    <row r="236" spans="1:13" ht="17" x14ac:dyDescent="0.5">
      <c r="A236" s="8" t="s">
        <v>373</v>
      </c>
      <c r="D236" s="8" t="s">
        <v>377</v>
      </c>
      <c r="E236" s="4">
        <v>6</v>
      </c>
      <c r="F236" s="8"/>
      <c r="H236" s="8" t="s">
        <v>10</v>
      </c>
      <c r="I236" s="8" t="s">
        <v>11</v>
      </c>
      <c r="J236" s="8" t="s">
        <v>46</v>
      </c>
      <c r="K236" s="16" t="s">
        <v>443</v>
      </c>
      <c r="L236" s="9" t="s">
        <v>140</v>
      </c>
      <c r="M236" s="4" t="s">
        <v>14</v>
      </c>
    </row>
    <row r="237" spans="1:13" ht="15.5" x14ac:dyDescent="0.35">
      <c r="A237" s="8" t="s">
        <v>378</v>
      </c>
      <c r="D237" s="8" t="s">
        <v>379</v>
      </c>
      <c r="E237" s="4">
        <v>6</v>
      </c>
      <c r="F237" s="8"/>
      <c r="H237" s="8" t="s">
        <v>199</v>
      </c>
      <c r="I237" s="8" t="s">
        <v>28</v>
      </c>
      <c r="J237" s="8" t="s">
        <v>22</v>
      </c>
      <c r="K237" s="16" t="s">
        <v>442</v>
      </c>
      <c r="L237" s="8" t="s">
        <v>88</v>
      </c>
      <c r="M237" s="4" t="s">
        <v>14</v>
      </c>
    </row>
    <row r="238" spans="1:13" ht="15.5" x14ac:dyDescent="0.35">
      <c r="A238" s="8" t="s">
        <v>380</v>
      </c>
      <c r="D238" s="8" t="s">
        <v>381</v>
      </c>
      <c r="E238" s="4">
        <v>6</v>
      </c>
      <c r="F238" s="8"/>
      <c r="H238" s="8" t="s">
        <v>111</v>
      </c>
      <c r="I238" s="8" t="s">
        <v>11</v>
      </c>
      <c r="J238" s="8"/>
      <c r="L238" s="8" t="s">
        <v>88</v>
      </c>
      <c r="M238" s="4" t="s">
        <v>14</v>
      </c>
    </row>
    <row r="239" spans="1:13" ht="15.5" x14ac:dyDescent="0.35">
      <c r="A239" s="8" t="s">
        <v>380</v>
      </c>
      <c r="D239" s="8" t="s">
        <v>382</v>
      </c>
      <c r="E239" s="4">
        <v>6</v>
      </c>
      <c r="F239" s="8"/>
      <c r="H239" s="8" t="s">
        <v>41</v>
      </c>
      <c r="I239" s="8" t="s">
        <v>11</v>
      </c>
      <c r="J239" s="8" t="s">
        <v>12</v>
      </c>
      <c r="K239" s="16" t="s">
        <v>442</v>
      </c>
      <c r="L239" s="8" t="s">
        <v>88</v>
      </c>
      <c r="M239" s="4" t="s">
        <v>14</v>
      </c>
    </row>
    <row r="240" spans="1:13" ht="15.5" x14ac:dyDescent="0.35">
      <c r="A240" s="8" t="s">
        <v>383</v>
      </c>
      <c r="D240" s="8" t="s">
        <v>384</v>
      </c>
      <c r="E240" s="4">
        <v>6</v>
      </c>
      <c r="F240" s="8"/>
      <c r="H240" s="8" t="s">
        <v>340</v>
      </c>
      <c r="I240" s="8" t="s">
        <v>11</v>
      </c>
      <c r="J240" s="8" t="s">
        <v>192</v>
      </c>
      <c r="K240" s="16" t="s">
        <v>442</v>
      </c>
      <c r="L240" s="8" t="s">
        <v>88</v>
      </c>
      <c r="M240" s="4" t="s">
        <v>14</v>
      </c>
    </row>
    <row r="241" spans="1:13" ht="15.5" x14ac:dyDescent="0.35">
      <c r="A241" s="8" t="s">
        <v>385</v>
      </c>
      <c r="D241" s="8" t="s">
        <v>386</v>
      </c>
      <c r="E241" s="4">
        <v>6</v>
      </c>
      <c r="F241" s="8"/>
      <c r="H241" s="8" t="s">
        <v>340</v>
      </c>
      <c r="I241" s="8" t="s">
        <v>28</v>
      </c>
      <c r="J241" s="8" t="s">
        <v>49</v>
      </c>
      <c r="K241" s="16" t="s">
        <v>442</v>
      </c>
      <c r="L241" s="8" t="s">
        <v>88</v>
      </c>
      <c r="M241" s="4" t="s">
        <v>14</v>
      </c>
    </row>
    <row r="242" spans="1:13" ht="15.5" x14ac:dyDescent="0.35">
      <c r="A242" s="8" t="s">
        <v>387</v>
      </c>
      <c r="D242" s="8" t="s">
        <v>388</v>
      </c>
      <c r="E242" s="4">
        <v>6</v>
      </c>
      <c r="F242" s="8"/>
      <c r="H242" s="8" t="s">
        <v>41</v>
      </c>
      <c r="I242" s="8" t="s">
        <v>28</v>
      </c>
      <c r="J242" s="8" t="s">
        <v>84</v>
      </c>
      <c r="K242" s="16" t="s">
        <v>442</v>
      </c>
      <c r="L242" s="8" t="s">
        <v>88</v>
      </c>
      <c r="M242" s="4" t="s">
        <v>14</v>
      </c>
    </row>
    <row r="243" spans="1:13" ht="15.5" x14ac:dyDescent="0.35">
      <c r="A243" s="8" t="s">
        <v>387</v>
      </c>
      <c r="D243" s="8" t="s">
        <v>389</v>
      </c>
      <c r="E243" s="4">
        <v>6</v>
      </c>
      <c r="F243" s="8"/>
      <c r="H243" s="8" t="s">
        <v>339</v>
      </c>
      <c r="I243" s="8" t="s">
        <v>11</v>
      </c>
      <c r="J243" s="8" t="s">
        <v>243</v>
      </c>
      <c r="K243" s="16" t="s">
        <v>442</v>
      </c>
      <c r="L243" s="8" t="s">
        <v>88</v>
      </c>
      <c r="M243" s="4" t="s">
        <v>14</v>
      </c>
    </row>
    <row r="244" spans="1:13" ht="15.5" x14ac:dyDescent="0.35">
      <c r="A244" s="8" t="s">
        <v>390</v>
      </c>
      <c r="D244" s="8" t="s">
        <v>391</v>
      </c>
      <c r="E244" s="4">
        <v>6</v>
      </c>
      <c r="F244" s="8"/>
      <c r="H244" s="8" t="s">
        <v>41</v>
      </c>
      <c r="I244" s="8" t="s">
        <v>11</v>
      </c>
      <c r="J244" s="8" t="s">
        <v>33</v>
      </c>
      <c r="K244" s="16" t="s">
        <v>442</v>
      </c>
      <c r="L244" s="8" t="s">
        <v>88</v>
      </c>
      <c r="M244" s="4" t="s">
        <v>14</v>
      </c>
    </row>
    <row r="245" spans="1:13" ht="15.5" x14ac:dyDescent="0.35">
      <c r="A245" s="8" t="s">
        <v>390</v>
      </c>
      <c r="D245" s="8" t="s">
        <v>392</v>
      </c>
      <c r="E245" s="4">
        <v>6</v>
      </c>
      <c r="F245" s="8"/>
      <c r="H245" s="8" t="s">
        <v>393</v>
      </c>
      <c r="I245" s="8" t="s">
        <v>11</v>
      </c>
      <c r="J245" s="8" t="s">
        <v>243</v>
      </c>
      <c r="K245" s="16" t="s">
        <v>442</v>
      </c>
      <c r="L245" s="8" t="s">
        <v>88</v>
      </c>
      <c r="M245" s="4" t="s">
        <v>14</v>
      </c>
    </row>
    <row r="246" spans="1:13" ht="15.5" x14ac:dyDescent="0.35">
      <c r="A246" s="8" t="s">
        <v>394</v>
      </c>
      <c r="D246" s="8" t="s">
        <v>395</v>
      </c>
      <c r="E246" s="4">
        <v>6</v>
      </c>
      <c r="F246" s="8"/>
      <c r="H246" s="8" t="s">
        <v>41</v>
      </c>
      <c r="I246" s="8" t="s">
        <v>11</v>
      </c>
      <c r="J246" s="8" t="s">
        <v>31</v>
      </c>
      <c r="K246" s="16" t="s">
        <v>442</v>
      </c>
      <c r="L246" s="8" t="s">
        <v>88</v>
      </c>
      <c r="M246" s="4" t="s">
        <v>14</v>
      </c>
    </row>
    <row r="247" spans="1:13" ht="17" x14ac:dyDescent="0.5">
      <c r="A247" s="8" t="s">
        <v>394</v>
      </c>
      <c r="D247" s="8" t="s">
        <v>396</v>
      </c>
      <c r="E247" s="4">
        <v>6</v>
      </c>
      <c r="F247" s="8"/>
      <c r="H247" s="8" t="s">
        <v>41</v>
      </c>
      <c r="I247" s="8" t="s">
        <v>11</v>
      </c>
      <c r="J247" s="8" t="s">
        <v>31</v>
      </c>
      <c r="K247" s="16" t="s">
        <v>442</v>
      </c>
      <c r="L247" s="9" t="s">
        <v>140</v>
      </c>
      <c r="M247" s="4" t="s">
        <v>14</v>
      </c>
    </row>
    <row r="248" spans="1:13" ht="15.5" x14ac:dyDescent="0.35">
      <c r="A248" s="8" t="s">
        <v>394</v>
      </c>
      <c r="D248" s="8" t="s">
        <v>397</v>
      </c>
      <c r="E248" s="4">
        <v>6</v>
      </c>
      <c r="F248" s="8"/>
      <c r="H248" s="8" t="s">
        <v>398</v>
      </c>
      <c r="I248" s="8" t="s">
        <v>28</v>
      </c>
      <c r="J248" s="8" t="s">
        <v>337</v>
      </c>
      <c r="K248" s="16" t="s">
        <v>443</v>
      </c>
      <c r="L248" s="8" t="s">
        <v>88</v>
      </c>
      <c r="M248" s="4" t="s">
        <v>14</v>
      </c>
    </row>
    <row r="249" spans="1:13" ht="17" x14ac:dyDescent="0.5">
      <c r="A249" s="8" t="s">
        <v>394</v>
      </c>
      <c r="D249" s="8" t="s">
        <v>399</v>
      </c>
      <c r="E249" s="4">
        <v>6</v>
      </c>
      <c r="F249" s="8"/>
      <c r="H249" s="8" t="s">
        <v>27</v>
      </c>
      <c r="I249" s="8"/>
      <c r="J249" s="8" t="s">
        <v>400</v>
      </c>
      <c r="K249" s="16" t="s">
        <v>443</v>
      </c>
      <c r="L249" s="9" t="s">
        <v>43</v>
      </c>
      <c r="M249" s="4" t="s">
        <v>14</v>
      </c>
    </row>
    <row r="250" spans="1:13" ht="15.5" x14ac:dyDescent="0.35">
      <c r="A250" s="8" t="s">
        <v>401</v>
      </c>
      <c r="D250" s="8" t="s">
        <v>402</v>
      </c>
      <c r="E250" s="4">
        <v>6</v>
      </c>
      <c r="F250" s="8"/>
      <c r="H250" s="8" t="s">
        <v>339</v>
      </c>
      <c r="I250" s="8" t="s">
        <v>11</v>
      </c>
      <c r="J250" s="8" t="s">
        <v>403</v>
      </c>
      <c r="K250" s="16" t="s">
        <v>443</v>
      </c>
      <c r="L250" s="8" t="s">
        <v>88</v>
      </c>
      <c r="M250" s="4" t="s">
        <v>14</v>
      </c>
    </row>
    <row r="251" spans="1:13" ht="15.5" x14ac:dyDescent="0.35">
      <c r="A251" s="8" t="s">
        <v>401</v>
      </c>
      <c r="D251" s="8" t="s">
        <v>404</v>
      </c>
      <c r="E251" s="4">
        <v>6</v>
      </c>
      <c r="F251" s="8"/>
      <c r="H251" s="8" t="s">
        <v>163</v>
      </c>
      <c r="I251" s="8" t="s">
        <v>11</v>
      </c>
      <c r="J251" s="8" t="s">
        <v>87</v>
      </c>
      <c r="K251" s="16" t="s">
        <v>442</v>
      </c>
      <c r="L251" s="8" t="s">
        <v>88</v>
      </c>
      <c r="M251" s="4" t="s">
        <v>14</v>
      </c>
    </row>
    <row r="252" spans="1:13" ht="15.5" x14ac:dyDescent="0.35">
      <c r="A252" s="8" t="s">
        <v>401</v>
      </c>
      <c r="D252" s="8" t="s">
        <v>405</v>
      </c>
      <c r="E252" s="4">
        <v>6</v>
      </c>
      <c r="F252" s="8"/>
      <c r="H252" s="8" t="s">
        <v>406</v>
      </c>
      <c r="I252" s="8" t="s">
        <v>28</v>
      </c>
      <c r="J252" s="8" t="s">
        <v>143</v>
      </c>
      <c r="K252" s="16" t="s">
        <v>442</v>
      </c>
      <c r="L252" s="8" t="s">
        <v>88</v>
      </c>
      <c r="M252" s="4" t="s">
        <v>14</v>
      </c>
    </row>
    <row r="253" spans="1:13" ht="15.5" x14ac:dyDescent="0.35">
      <c r="A253" s="8" t="s">
        <v>401</v>
      </c>
      <c r="D253" s="8" t="s">
        <v>407</v>
      </c>
      <c r="E253" s="4">
        <v>6</v>
      </c>
      <c r="F253" s="8"/>
      <c r="H253" s="8" t="s">
        <v>41</v>
      </c>
      <c r="I253" s="8" t="s">
        <v>28</v>
      </c>
      <c r="J253" s="8" t="s">
        <v>173</v>
      </c>
      <c r="K253" s="16" t="s">
        <v>442</v>
      </c>
      <c r="L253" s="8" t="s">
        <v>88</v>
      </c>
      <c r="M253" s="4" t="s">
        <v>14</v>
      </c>
    </row>
    <row r="254" spans="1:13" ht="15.5" x14ac:dyDescent="0.35">
      <c r="A254" s="8" t="s">
        <v>408</v>
      </c>
      <c r="D254" s="8" t="s">
        <v>409</v>
      </c>
      <c r="E254" s="4">
        <v>6</v>
      </c>
      <c r="F254" s="8"/>
      <c r="H254" s="8" t="s">
        <v>71</v>
      </c>
      <c r="I254" s="8" t="s">
        <v>11</v>
      </c>
      <c r="J254" s="8" t="s">
        <v>39</v>
      </c>
      <c r="K254" s="16" t="s">
        <v>443</v>
      </c>
      <c r="L254" s="8" t="s">
        <v>88</v>
      </c>
      <c r="M254" s="4" t="s">
        <v>14</v>
      </c>
    </row>
    <row r="255" spans="1:13" ht="15.5" x14ac:dyDescent="0.35">
      <c r="A255" s="8" t="s">
        <v>410</v>
      </c>
      <c r="D255" s="8" t="s">
        <v>411</v>
      </c>
      <c r="E255" s="4">
        <v>6</v>
      </c>
      <c r="F255" s="8"/>
      <c r="H255" s="8" t="s">
        <v>41</v>
      </c>
      <c r="I255" s="8" t="s">
        <v>11</v>
      </c>
      <c r="J255" s="8" t="s">
        <v>87</v>
      </c>
      <c r="K255" s="16" t="s">
        <v>442</v>
      </c>
      <c r="L255" s="8" t="s">
        <v>88</v>
      </c>
      <c r="M255" s="4" t="s">
        <v>14</v>
      </c>
    </row>
    <row r="256" spans="1:13" ht="15.5" x14ac:dyDescent="0.35">
      <c r="A256" s="8" t="s">
        <v>410</v>
      </c>
      <c r="D256" s="8" t="s">
        <v>412</v>
      </c>
      <c r="E256" s="4">
        <v>6</v>
      </c>
      <c r="F256" s="8"/>
      <c r="H256" s="8" t="s">
        <v>300</v>
      </c>
      <c r="I256" s="8" t="s">
        <v>11</v>
      </c>
      <c r="J256" s="8" t="s">
        <v>46</v>
      </c>
      <c r="K256" s="16" t="s">
        <v>443</v>
      </c>
      <c r="L256" s="8" t="s">
        <v>88</v>
      </c>
      <c r="M256" s="4" t="s">
        <v>14</v>
      </c>
    </row>
    <row r="257" spans="1:13" ht="15.5" x14ac:dyDescent="0.35">
      <c r="A257" s="8" t="s">
        <v>413</v>
      </c>
      <c r="D257" s="8" t="s">
        <v>414</v>
      </c>
      <c r="E257" s="4">
        <v>6</v>
      </c>
      <c r="F257" s="8"/>
      <c r="H257" s="8" t="s">
        <v>163</v>
      </c>
      <c r="I257" s="8" t="s">
        <v>11</v>
      </c>
      <c r="J257" s="8"/>
      <c r="L257" s="8" t="s">
        <v>88</v>
      </c>
      <c r="M257" s="4" t="s">
        <v>14</v>
      </c>
    </row>
    <row r="258" spans="1:13" ht="15.5" x14ac:dyDescent="0.35">
      <c r="A258" s="8" t="s">
        <v>413</v>
      </c>
      <c r="D258" s="8" t="s">
        <v>415</v>
      </c>
      <c r="E258" s="4">
        <v>6</v>
      </c>
      <c r="F258" s="8"/>
      <c r="H258" s="8" t="s">
        <v>41</v>
      </c>
      <c r="I258" s="8" t="s">
        <v>11</v>
      </c>
      <c r="J258" s="8" t="s">
        <v>31</v>
      </c>
      <c r="K258" s="16" t="s">
        <v>442</v>
      </c>
      <c r="L258" s="8" t="s">
        <v>88</v>
      </c>
      <c r="M258" s="4" t="s">
        <v>14</v>
      </c>
    </row>
    <row r="259" spans="1:13" ht="15.5" x14ac:dyDescent="0.35">
      <c r="A259" s="8" t="s">
        <v>413</v>
      </c>
      <c r="D259" s="8" t="s">
        <v>416</v>
      </c>
      <c r="E259" s="4">
        <v>6</v>
      </c>
      <c r="F259" s="8"/>
      <c r="H259" s="8" t="s">
        <v>55</v>
      </c>
      <c r="I259" s="8" t="s">
        <v>28</v>
      </c>
      <c r="J259" s="8" t="s">
        <v>22</v>
      </c>
      <c r="K259" s="16" t="s">
        <v>442</v>
      </c>
      <c r="L259" s="8" t="s">
        <v>88</v>
      </c>
      <c r="M259" s="4" t="s">
        <v>14</v>
      </c>
    </row>
    <row r="260" spans="1:13" ht="15.5" x14ac:dyDescent="0.35">
      <c r="A260" s="8" t="s">
        <v>417</v>
      </c>
      <c r="D260" s="8" t="s">
        <v>418</v>
      </c>
      <c r="E260" s="4">
        <v>6</v>
      </c>
      <c r="F260" s="8"/>
      <c r="H260" s="8" t="s">
        <v>298</v>
      </c>
      <c r="I260" s="8" t="s">
        <v>11</v>
      </c>
      <c r="J260" s="8" t="s">
        <v>187</v>
      </c>
      <c r="K260" s="16" t="s">
        <v>442</v>
      </c>
      <c r="L260" s="8" t="s">
        <v>88</v>
      </c>
      <c r="M260" s="4" t="s">
        <v>14</v>
      </c>
    </row>
    <row r="261" spans="1:13" ht="15.5" x14ac:dyDescent="0.35">
      <c r="A261" s="8" t="s">
        <v>417</v>
      </c>
      <c r="D261" s="8" t="s">
        <v>419</v>
      </c>
      <c r="E261" s="4">
        <v>6</v>
      </c>
      <c r="F261" s="8"/>
      <c r="H261" s="8" t="s">
        <v>122</v>
      </c>
      <c r="I261" s="8" t="s">
        <v>28</v>
      </c>
      <c r="J261" s="8" t="s">
        <v>243</v>
      </c>
      <c r="K261" s="16" t="s">
        <v>442</v>
      </c>
      <c r="L261" s="8" t="s">
        <v>88</v>
      </c>
      <c r="M261" s="4" t="s">
        <v>14</v>
      </c>
    </row>
    <row r="262" spans="1:13" ht="15.5" x14ac:dyDescent="0.35">
      <c r="A262" s="8" t="s">
        <v>420</v>
      </c>
      <c r="D262" s="8" t="s">
        <v>421</v>
      </c>
      <c r="E262" s="4">
        <v>6</v>
      </c>
      <c r="F262" s="8"/>
      <c r="H262" s="8" t="s">
        <v>27</v>
      </c>
      <c r="I262" s="8" t="s">
        <v>11</v>
      </c>
      <c r="J262" s="8" t="s">
        <v>87</v>
      </c>
      <c r="K262" s="16" t="s">
        <v>442</v>
      </c>
      <c r="L262" s="8" t="s">
        <v>88</v>
      </c>
      <c r="M262" s="4" t="s">
        <v>14</v>
      </c>
    </row>
    <row r="263" spans="1:13" ht="15.5" x14ac:dyDescent="0.35">
      <c r="A263" s="8" t="s">
        <v>422</v>
      </c>
      <c r="D263" s="8" t="s">
        <v>423</v>
      </c>
      <c r="E263" s="4">
        <v>6</v>
      </c>
      <c r="F263" s="8"/>
      <c r="H263" s="8" t="s">
        <v>24</v>
      </c>
      <c r="I263" s="8" t="s">
        <v>28</v>
      </c>
      <c r="J263" s="8" t="s">
        <v>185</v>
      </c>
      <c r="K263" s="16" t="s">
        <v>442</v>
      </c>
      <c r="L263" s="8" t="s">
        <v>88</v>
      </c>
      <c r="M263" s="4" t="s">
        <v>14</v>
      </c>
    </row>
    <row r="264" spans="1:13" ht="15.5" x14ac:dyDescent="0.35">
      <c r="A264" s="8" t="s">
        <v>422</v>
      </c>
      <c r="D264" s="8" t="s">
        <v>424</v>
      </c>
      <c r="E264" s="4">
        <v>6</v>
      </c>
      <c r="F264" s="8"/>
      <c r="H264" s="8" t="s">
        <v>41</v>
      </c>
      <c r="I264" s="8" t="s">
        <v>11</v>
      </c>
      <c r="J264" s="8" t="s">
        <v>87</v>
      </c>
      <c r="K264" s="16" t="s">
        <v>442</v>
      </c>
      <c r="L264" s="8" t="s">
        <v>88</v>
      </c>
      <c r="M264" s="4" t="s">
        <v>14</v>
      </c>
    </row>
    <row r="265" spans="1:13" ht="15.5" x14ac:dyDescent="0.35">
      <c r="A265" s="8" t="s">
        <v>422</v>
      </c>
      <c r="D265" s="8" t="s">
        <v>425</v>
      </c>
      <c r="E265" s="4">
        <v>6</v>
      </c>
      <c r="F265" s="8"/>
      <c r="H265" s="8" t="s">
        <v>21</v>
      </c>
      <c r="I265" s="8" t="s">
        <v>11</v>
      </c>
      <c r="K265" s="8" t="s">
        <v>443</v>
      </c>
      <c r="L265" s="8" t="s">
        <v>88</v>
      </c>
      <c r="M265" s="4" t="s">
        <v>14</v>
      </c>
    </row>
    <row r="266" spans="1:13" ht="15.5" x14ac:dyDescent="0.35">
      <c r="A266" s="8" t="s">
        <v>422</v>
      </c>
      <c r="D266" s="8" t="s">
        <v>426</v>
      </c>
      <c r="E266" s="4">
        <v>6</v>
      </c>
      <c r="F266" s="8"/>
      <c r="H266" s="8" t="s">
        <v>341</v>
      </c>
      <c r="I266" s="8" t="s">
        <v>28</v>
      </c>
      <c r="J266" s="8" t="s">
        <v>19</v>
      </c>
      <c r="K266" s="16" t="s">
        <v>442</v>
      </c>
      <c r="L266" s="8" t="s">
        <v>88</v>
      </c>
      <c r="M266" s="4" t="s">
        <v>14</v>
      </c>
    </row>
    <row r="267" spans="1:13" ht="15.5" x14ac:dyDescent="0.35">
      <c r="A267" s="8" t="s">
        <v>422</v>
      </c>
      <c r="D267" s="8" t="s">
        <v>427</v>
      </c>
      <c r="E267" s="4">
        <v>6</v>
      </c>
      <c r="F267" s="8"/>
      <c r="H267" s="8" t="s">
        <v>41</v>
      </c>
      <c r="I267" s="8" t="s">
        <v>11</v>
      </c>
      <c r="J267" s="8" t="s">
        <v>22</v>
      </c>
      <c r="K267" s="16" t="s">
        <v>442</v>
      </c>
      <c r="L267" s="8" t="s">
        <v>88</v>
      </c>
      <c r="M267" s="4" t="s">
        <v>14</v>
      </c>
    </row>
    <row r="268" spans="1:13" ht="15.5" x14ac:dyDescent="0.35">
      <c r="A268" s="8" t="s">
        <v>422</v>
      </c>
      <c r="D268" s="8" t="s">
        <v>428</v>
      </c>
      <c r="E268" s="4">
        <v>6</v>
      </c>
      <c r="F268" s="8"/>
      <c r="H268" s="8" t="s">
        <v>342</v>
      </c>
      <c r="I268" s="8" t="s">
        <v>11</v>
      </c>
      <c r="J268" s="8" t="s">
        <v>36</v>
      </c>
      <c r="K268" s="16" t="s">
        <v>442</v>
      </c>
      <c r="L268" s="8" t="s">
        <v>88</v>
      </c>
      <c r="M268" s="4" t="s">
        <v>14</v>
      </c>
    </row>
    <row r="269" spans="1:13" ht="15.5" x14ac:dyDescent="0.35">
      <c r="A269" s="8" t="s">
        <v>429</v>
      </c>
      <c r="D269" s="8" t="s">
        <v>430</v>
      </c>
      <c r="E269" s="4">
        <v>6</v>
      </c>
      <c r="F269" s="8"/>
      <c r="H269" s="8" t="s">
        <v>41</v>
      </c>
      <c r="I269" s="8" t="s">
        <v>28</v>
      </c>
      <c r="J269" s="8" t="s">
        <v>33</v>
      </c>
      <c r="K269" s="16" t="s">
        <v>442</v>
      </c>
      <c r="L269" s="8" t="s">
        <v>88</v>
      </c>
      <c r="M269" s="4" t="s">
        <v>14</v>
      </c>
    </row>
    <row r="270" spans="1:13" ht="15.5" x14ac:dyDescent="0.35">
      <c r="A270" s="8" t="s">
        <v>429</v>
      </c>
      <c r="D270" s="8" t="s">
        <v>431</v>
      </c>
      <c r="E270" s="4">
        <v>6</v>
      </c>
      <c r="F270" s="8"/>
      <c r="H270" s="8" t="s">
        <v>344</v>
      </c>
      <c r="I270" s="8" t="s">
        <v>11</v>
      </c>
      <c r="J270" s="8" t="s">
        <v>92</v>
      </c>
      <c r="K270" s="16" t="s">
        <v>442</v>
      </c>
      <c r="L270" s="8" t="s">
        <v>88</v>
      </c>
      <c r="M270" s="4" t="s">
        <v>14</v>
      </c>
    </row>
    <row r="271" spans="1:13" ht="15.5" x14ac:dyDescent="0.35">
      <c r="A271" s="8" t="s">
        <v>432</v>
      </c>
      <c r="D271" s="8" t="s">
        <v>433</v>
      </c>
      <c r="E271" s="4">
        <v>6</v>
      </c>
      <c r="F271" s="8"/>
      <c r="H271" s="8" t="s">
        <v>57</v>
      </c>
      <c r="I271" s="8" t="s">
        <v>28</v>
      </c>
      <c r="J271" s="8" t="s">
        <v>60</v>
      </c>
      <c r="K271" s="16" t="s">
        <v>442</v>
      </c>
      <c r="L271" s="8" t="s">
        <v>88</v>
      </c>
      <c r="M271" s="4" t="s">
        <v>14</v>
      </c>
    </row>
    <row r="272" spans="1:13" ht="15.5" x14ac:dyDescent="0.35">
      <c r="A272" s="8" t="s">
        <v>432</v>
      </c>
      <c r="D272" s="8" t="s">
        <v>434</v>
      </c>
      <c r="E272" s="4">
        <v>6</v>
      </c>
      <c r="F272" s="8"/>
      <c r="H272" s="8" t="s">
        <v>338</v>
      </c>
      <c r="I272" s="8" t="s">
        <v>11</v>
      </c>
      <c r="J272" s="8" t="s">
        <v>33</v>
      </c>
      <c r="K272" s="16" t="s">
        <v>442</v>
      </c>
      <c r="L272" s="8" t="s">
        <v>88</v>
      </c>
      <c r="M272" s="4" t="s">
        <v>14</v>
      </c>
    </row>
    <row r="273" spans="1:13" ht="15.5" x14ac:dyDescent="0.35">
      <c r="A273" s="8" t="s">
        <v>435</v>
      </c>
      <c r="D273" s="8" t="s">
        <v>436</v>
      </c>
      <c r="E273" s="4">
        <v>6</v>
      </c>
      <c r="F273" s="8"/>
      <c r="H273" s="8" t="s">
        <v>300</v>
      </c>
      <c r="I273" s="8" t="s">
        <v>11</v>
      </c>
      <c r="J273" s="8" t="s">
        <v>31</v>
      </c>
      <c r="K273" s="16" t="s">
        <v>442</v>
      </c>
      <c r="L273" s="8" t="s">
        <v>88</v>
      </c>
      <c r="M273" s="4" t="s">
        <v>14</v>
      </c>
    </row>
    <row r="274" spans="1:13" ht="15.5" x14ac:dyDescent="0.35">
      <c r="A274" s="8" t="s">
        <v>437</v>
      </c>
      <c r="D274" s="8" t="s">
        <v>438</v>
      </c>
      <c r="E274" s="4">
        <v>6</v>
      </c>
      <c r="F274" s="8"/>
      <c r="H274" s="8" t="s">
        <v>122</v>
      </c>
      <c r="I274" s="8" t="s">
        <v>11</v>
      </c>
      <c r="J274" s="8" t="s">
        <v>60</v>
      </c>
      <c r="K274" s="16" t="s">
        <v>442</v>
      </c>
      <c r="L274" s="8" t="s">
        <v>88</v>
      </c>
      <c r="M274" s="4" t="s">
        <v>14</v>
      </c>
    </row>
    <row r="275" spans="1:13" ht="15.5" x14ac:dyDescent="0.35">
      <c r="A275" s="8" t="s">
        <v>437</v>
      </c>
      <c r="D275" s="8" t="s">
        <v>439</v>
      </c>
      <c r="E275" s="4">
        <v>6</v>
      </c>
      <c r="F275" s="8"/>
      <c r="H275" s="8" t="s">
        <v>343</v>
      </c>
      <c r="I275" s="8" t="s">
        <v>11</v>
      </c>
      <c r="J275" s="8" t="s">
        <v>187</v>
      </c>
      <c r="K275" s="16" t="s">
        <v>442</v>
      </c>
      <c r="L275" s="8" t="s">
        <v>88</v>
      </c>
      <c r="M275" s="4" t="s">
        <v>14</v>
      </c>
    </row>
    <row r="276" spans="1:13" ht="15.5" x14ac:dyDescent="0.35">
      <c r="A276" s="8" t="s">
        <v>437</v>
      </c>
      <c r="D276" s="8" t="s">
        <v>440</v>
      </c>
      <c r="E276" s="4">
        <v>6</v>
      </c>
      <c r="F276" s="8"/>
      <c r="H276" s="8" t="s">
        <v>71</v>
      </c>
      <c r="I276" s="8" t="s">
        <v>11</v>
      </c>
      <c r="J276" s="8" t="s">
        <v>60</v>
      </c>
      <c r="K276" s="16" t="s">
        <v>442</v>
      </c>
      <c r="L276" s="8" t="s">
        <v>88</v>
      </c>
      <c r="M276" s="4" t="s">
        <v>14</v>
      </c>
    </row>
    <row r="277" spans="1:13" ht="15.5" x14ac:dyDescent="0.35">
      <c r="A277" s="8" t="s">
        <v>437</v>
      </c>
      <c r="D277" s="8" t="s">
        <v>441</v>
      </c>
      <c r="E277" s="4">
        <v>6</v>
      </c>
      <c r="F277" s="8"/>
      <c r="H277" s="8" t="s">
        <v>122</v>
      </c>
      <c r="I277" s="8" t="s">
        <v>11</v>
      </c>
      <c r="J277" s="8" t="s">
        <v>60</v>
      </c>
      <c r="K277" s="16" t="s">
        <v>442</v>
      </c>
      <c r="L277" s="8" t="s">
        <v>88</v>
      </c>
      <c r="M277" s="4" t="s">
        <v>14</v>
      </c>
    </row>
  </sheetData>
  <autoFilter ref="A1:M277" xr:uid="{306B0B48-7B10-4989-B13C-309C3A26AA09}"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7BDB-390E-4D0D-9997-99D7BE6AE190}">
  <dimension ref="A1:M32"/>
  <sheetViews>
    <sheetView tabSelected="1" workbookViewId="0">
      <selection activeCell="L16" sqref="L16"/>
    </sheetView>
  </sheetViews>
  <sheetFormatPr defaultColWidth="8.81640625" defaultRowHeight="14.5" x14ac:dyDescent="0.35"/>
  <cols>
    <col min="1" max="1" width="19.6328125" customWidth="1"/>
    <col min="12" max="12" width="22.81640625" bestFit="1" customWidth="1"/>
  </cols>
  <sheetData>
    <row r="1" spans="1:13" ht="15.5" x14ac:dyDescent="0.35">
      <c r="A1" s="1" t="s">
        <v>0</v>
      </c>
      <c r="B1" s="1" t="s">
        <v>351</v>
      </c>
      <c r="C1" s="1" t="s">
        <v>369</v>
      </c>
      <c r="D1" s="1" t="s">
        <v>1</v>
      </c>
      <c r="E1" s="1" t="s">
        <v>2</v>
      </c>
      <c r="F1" s="1" t="s">
        <v>357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444</v>
      </c>
      <c r="L1" s="3" t="s">
        <v>7</v>
      </c>
      <c r="M1" s="3" t="s">
        <v>8</v>
      </c>
    </row>
    <row r="2" spans="1:13" ht="15.5" x14ac:dyDescent="0.35">
      <c r="A2" s="13">
        <v>46034</v>
      </c>
      <c r="B2" s="4">
        <v>2026</v>
      </c>
      <c r="C2" s="15">
        <v>3</v>
      </c>
      <c r="D2" s="4" t="s">
        <v>40</v>
      </c>
      <c r="E2" s="4" t="s">
        <v>345</v>
      </c>
      <c r="F2" s="4" t="s">
        <v>352</v>
      </c>
      <c r="G2" s="4"/>
      <c r="H2" s="4" t="s">
        <v>41</v>
      </c>
      <c r="I2" s="4" t="s">
        <v>28</v>
      </c>
      <c r="J2" s="4" t="s">
        <v>42</v>
      </c>
      <c r="K2" s="4" t="s">
        <v>442</v>
      </c>
      <c r="L2" s="5" t="s">
        <v>43</v>
      </c>
      <c r="M2" s="4" t="s">
        <v>14</v>
      </c>
    </row>
    <row r="3" spans="1:13" ht="15.5" x14ac:dyDescent="0.35">
      <c r="A3" s="13">
        <v>46045</v>
      </c>
      <c r="B3" s="4">
        <v>2026</v>
      </c>
      <c r="C3" s="15">
        <v>4</v>
      </c>
      <c r="D3" s="4" t="s">
        <v>61</v>
      </c>
      <c r="E3" s="4" t="s">
        <v>345</v>
      </c>
      <c r="F3" s="4" t="s">
        <v>352</v>
      </c>
      <c r="G3" s="4"/>
      <c r="H3" s="4" t="s">
        <v>38</v>
      </c>
      <c r="I3" s="4" t="s">
        <v>28</v>
      </c>
      <c r="J3" s="4" t="s">
        <v>12</v>
      </c>
      <c r="K3" s="4" t="s">
        <v>442</v>
      </c>
      <c r="L3" s="5" t="s">
        <v>43</v>
      </c>
      <c r="M3" s="4" t="s">
        <v>14</v>
      </c>
    </row>
    <row r="4" spans="1:13" ht="15.5" x14ac:dyDescent="0.35">
      <c r="A4" s="13">
        <v>46045</v>
      </c>
      <c r="B4" s="4">
        <v>2026</v>
      </c>
      <c r="C4" s="15">
        <v>4</v>
      </c>
      <c r="D4" s="4" t="s">
        <v>65</v>
      </c>
      <c r="E4" s="4" t="s">
        <v>345</v>
      </c>
      <c r="F4" s="4" t="s">
        <v>352</v>
      </c>
      <c r="G4" s="4"/>
      <c r="H4" s="4" t="s">
        <v>10</v>
      </c>
      <c r="I4" s="4" t="s">
        <v>28</v>
      </c>
      <c r="J4" s="4" t="s">
        <v>12</v>
      </c>
      <c r="K4" s="4" t="s">
        <v>442</v>
      </c>
      <c r="L4" s="5" t="s">
        <v>43</v>
      </c>
      <c r="M4" s="4" t="s">
        <v>14</v>
      </c>
    </row>
    <row r="5" spans="1:13" ht="15.5" x14ac:dyDescent="0.35">
      <c r="A5" s="13">
        <v>46048</v>
      </c>
      <c r="B5" s="4">
        <v>2026</v>
      </c>
      <c r="C5" s="15">
        <v>5</v>
      </c>
      <c r="D5" s="4" t="s">
        <v>75</v>
      </c>
      <c r="E5" s="4" t="s">
        <v>345</v>
      </c>
      <c r="F5" s="4" t="s">
        <v>352</v>
      </c>
      <c r="G5" s="4"/>
      <c r="H5" s="4" t="s">
        <v>71</v>
      </c>
      <c r="I5" s="4" t="s">
        <v>11</v>
      </c>
      <c r="J5" s="4" t="s">
        <v>36</v>
      </c>
      <c r="K5" s="4" t="s">
        <v>442</v>
      </c>
      <c r="L5" s="6" t="s">
        <v>76</v>
      </c>
      <c r="M5" s="4" t="s">
        <v>14</v>
      </c>
    </row>
    <row r="6" spans="1:13" ht="15.5" x14ac:dyDescent="0.35">
      <c r="A6" s="13">
        <v>46065</v>
      </c>
      <c r="B6" s="4">
        <v>2026</v>
      </c>
      <c r="C6" s="15">
        <v>7</v>
      </c>
      <c r="D6" s="4" t="s">
        <v>98</v>
      </c>
      <c r="E6" s="4" t="s">
        <v>346</v>
      </c>
      <c r="F6" s="4" t="s">
        <v>353</v>
      </c>
      <c r="G6" s="4"/>
      <c r="H6" s="4" t="s">
        <v>41</v>
      </c>
      <c r="I6" s="4" t="s">
        <v>11</v>
      </c>
      <c r="J6" s="4" t="s">
        <v>60</v>
      </c>
      <c r="K6" s="4" t="s">
        <v>442</v>
      </c>
      <c r="L6" s="6" t="s">
        <v>76</v>
      </c>
      <c r="M6" s="4" t="s">
        <v>14</v>
      </c>
    </row>
    <row r="7" spans="1:13" ht="15.5" x14ac:dyDescent="0.35">
      <c r="A7" s="13">
        <v>46065</v>
      </c>
      <c r="B7" s="4">
        <v>2026</v>
      </c>
      <c r="C7" s="15">
        <v>7</v>
      </c>
      <c r="D7" s="4" t="s">
        <v>100</v>
      </c>
      <c r="E7" s="4" t="s">
        <v>346</v>
      </c>
      <c r="F7" s="4" t="s">
        <v>353</v>
      </c>
      <c r="G7" s="4"/>
      <c r="H7" s="4" t="s">
        <v>41</v>
      </c>
      <c r="I7" s="4" t="s">
        <v>11</v>
      </c>
      <c r="J7" s="4" t="s">
        <v>84</v>
      </c>
      <c r="K7" s="4" t="s">
        <v>442</v>
      </c>
      <c r="L7" s="6" t="s">
        <v>43</v>
      </c>
      <c r="M7" s="4" t="s">
        <v>14</v>
      </c>
    </row>
    <row r="8" spans="1:13" ht="15.5" x14ac:dyDescent="0.35">
      <c r="A8" s="13">
        <v>46070</v>
      </c>
      <c r="B8" s="4">
        <v>2026</v>
      </c>
      <c r="C8" s="15">
        <v>8</v>
      </c>
      <c r="D8" s="4" t="s">
        <v>106</v>
      </c>
      <c r="E8" s="4" t="s">
        <v>346</v>
      </c>
      <c r="F8" s="4" t="s">
        <v>353</v>
      </c>
      <c r="G8" s="4"/>
      <c r="H8" s="4" t="s">
        <v>71</v>
      </c>
      <c r="I8" s="4" t="s">
        <v>11</v>
      </c>
      <c r="J8" s="4" t="s">
        <v>36</v>
      </c>
      <c r="K8" s="4" t="s">
        <v>442</v>
      </c>
      <c r="L8" s="7" t="s">
        <v>107</v>
      </c>
      <c r="M8" s="4" t="s">
        <v>14</v>
      </c>
    </row>
    <row r="9" spans="1:13" ht="15.5" x14ac:dyDescent="0.35">
      <c r="A9" s="13">
        <v>46076</v>
      </c>
      <c r="B9" s="4">
        <v>2026</v>
      </c>
      <c r="C9" s="15">
        <v>9</v>
      </c>
      <c r="D9" s="4" t="s">
        <v>119</v>
      </c>
      <c r="E9" s="4" t="s">
        <v>346</v>
      </c>
      <c r="F9" s="4" t="s">
        <v>353</v>
      </c>
      <c r="G9" s="4"/>
      <c r="H9" s="4" t="s">
        <v>120</v>
      </c>
      <c r="I9" s="4" t="s">
        <v>11</v>
      </c>
      <c r="J9" s="4"/>
      <c r="K9" s="4" t="s">
        <v>442</v>
      </c>
      <c r="L9" s="6" t="s">
        <v>76</v>
      </c>
      <c r="M9" s="4" t="s">
        <v>14</v>
      </c>
    </row>
    <row r="10" spans="1:13" ht="15.5" x14ac:dyDescent="0.35">
      <c r="A10" s="13">
        <v>46076</v>
      </c>
      <c r="B10" s="4">
        <v>2026</v>
      </c>
      <c r="C10" s="15">
        <v>9</v>
      </c>
      <c r="D10" s="4" t="s">
        <v>123</v>
      </c>
      <c r="E10" s="4" t="s">
        <v>346</v>
      </c>
      <c r="F10" s="4" t="s">
        <v>353</v>
      </c>
      <c r="G10" s="4"/>
      <c r="H10" s="4" t="s">
        <v>48</v>
      </c>
      <c r="I10" s="4" t="s">
        <v>28</v>
      </c>
      <c r="J10" s="4"/>
      <c r="K10" s="4" t="s">
        <v>442</v>
      </c>
      <c r="L10" s="6" t="s">
        <v>76</v>
      </c>
      <c r="M10" s="4" t="s">
        <v>14</v>
      </c>
    </row>
    <row r="11" spans="1:13" ht="15.5" x14ac:dyDescent="0.35">
      <c r="A11" s="13">
        <v>46084</v>
      </c>
      <c r="B11" s="4">
        <v>2026</v>
      </c>
      <c r="C11" s="15">
        <v>10</v>
      </c>
      <c r="D11" s="8" t="s">
        <v>139</v>
      </c>
      <c r="E11" s="4" t="s">
        <v>347</v>
      </c>
      <c r="F11" s="4" t="s">
        <v>354</v>
      </c>
      <c r="G11" s="4"/>
      <c r="H11" s="8" t="s">
        <v>41</v>
      </c>
      <c r="I11" s="8" t="s">
        <v>11</v>
      </c>
      <c r="J11" s="8" t="s">
        <v>12</v>
      </c>
      <c r="K11" s="4" t="s">
        <v>442</v>
      </c>
      <c r="L11" s="6" t="s">
        <v>140</v>
      </c>
      <c r="M11" s="4" t="s">
        <v>14</v>
      </c>
    </row>
    <row r="12" spans="1:13" ht="15.5" x14ac:dyDescent="0.35">
      <c r="A12" s="13">
        <v>46084</v>
      </c>
      <c r="B12" s="4">
        <v>2026</v>
      </c>
      <c r="C12" s="15">
        <v>10</v>
      </c>
      <c r="D12" s="8" t="s">
        <v>142</v>
      </c>
      <c r="E12" s="4" t="s">
        <v>347</v>
      </c>
      <c r="F12" s="4" t="s">
        <v>354</v>
      </c>
      <c r="G12" s="4"/>
      <c r="H12" s="8" t="s">
        <v>111</v>
      </c>
      <c r="I12" s="8" t="s">
        <v>28</v>
      </c>
      <c r="J12" s="8" t="s">
        <v>143</v>
      </c>
      <c r="K12" s="4" t="s">
        <v>442</v>
      </c>
      <c r="L12" s="6" t="s">
        <v>76</v>
      </c>
      <c r="M12" s="4" t="s">
        <v>14</v>
      </c>
    </row>
    <row r="13" spans="1:13" ht="15.5" x14ac:dyDescent="0.35">
      <c r="A13" s="13">
        <v>46085</v>
      </c>
      <c r="B13" s="4">
        <v>2026</v>
      </c>
      <c r="C13" s="15">
        <v>10</v>
      </c>
      <c r="D13" s="8" t="s">
        <v>149</v>
      </c>
      <c r="E13" s="4" t="s">
        <v>347</v>
      </c>
      <c r="F13" s="4" t="s">
        <v>354</v>
      </c>
      <c r="G13" s="4"/>
      <c r="H13" s="8" t="s">
        <v>24</v>
      </c>
      <c r="I13" s="8" t="s">
        <v>11</v>
      </c>
      <c r="J13" s="8" t="s">
        <v>92</v>
      </c>
      <c r="K13" s="4" t="s">
        <v>442</v>
      </c>
      <c r="L13" s="6" t="s">
        <v>43</v>
      </c>
      <c r="M13" s="4" t="s">
        <v>14</v>
      </c>
    </row>
    <row r="14" spans="1:13" ht="15.5" x14ac:dyDescent="0.35">
      <c r="A14" s="13">
        <v>46093</v>
      </c>
      <c r="B14" s="4">
        <v>2026</v>
      </c>
      <c r="C14" s="15">
        <v>11</v>
      </c>
      <c r="D14" s="8" t="s">
        <v>156</v>
      </c>
      <c r="E14" s="4" t="s">
        <v>347</v>
      </c>
      <c r="F14" s="4" t="s">
        <v>354</v>
      </c>
      <c r="G14" s="4"/>
      <c r="H14" s="8" t="s">
        <v>38</v>
      </c>
      <c r="I14" s="8" t="s">
        <v>28</v>
      </c>
      <c r="J14" s="8" t="s">
        <v>33</v>
      </c>
      <c r="K14" s="4" t="s">
        <v>442</v>
      </c>
      <c r="L14" s="6" t="s">
        <v>140</v>
      </c>
      <c r="M14" s="4" t="s">
        <v>14</v>
      </c>
    </row>
    <row r="15" spans="1:13" ht="15.5" x14ac:dyDescent="0.35">
      <c r="A15" s="13">
        <v>46099</v>
      </c>
      <c r="B15" s="4">
        <v>2026</v>
      </c>
      <c r="C15" s="15">
        <v>12</v>
      </c>
      <c r="D15" s="8" t="s">
        <v>180</v>
      </c>
      <c r="E15" s="4" t="s">
        <v>347</v>
      </c>
      <c r="F15" s="4" t="s">
        <v>354</v>
      </c>
      <c r="G15" s="4"/>
      <c r="H15" s="8" t="s">
        <v>113</v>
      </c>
      <c r="I15" s="8" t="s">
        <v>28</v>
      </c>
      <c r="J15" s="8" t="s">
        <v>173</v>
      </c>
      <c r="K15" s="4" t="s">
        <v>442</v>
      </c>
      <c r="L15" s="6" t="s">
        <v>43</v>
      </c>
      <c r="M15" s="4" t="s">
        <v>14</v>
      </c>
    </row>
    <row r="16" spans="1:13" ht="15.5" x14ac:dyDescent="0.35">
      <c r="A16" s="13">
        <v>46100</v>
      </c>
      <c r="B16" s="4">
        <v>2026</v>
      </c>
      <c r="C16" s="15">
        <v>12</v>
      </c>
      <c r="D16" s="8" t="s">
        <v>183</v>
      </c>
      <c r="E16" s="4" t="s">
        <v>347</v>
      </c>
      <c r="F16" s="4" t="s">
        <v>354</v>
      </c>
      <c r="G16" s="4"/>
      <c r="H16" s="8" t="s">
        <v>41</v>
      </c>
      <c r="I16" s="8" t="s">
        <v>11</v>
      </c>
      <c r="J16" s="8" t="s">
        <v>49</v>
      </c>
      <c r="K16" s="4" t="s">
        <v>442</v>
      </c>
      <c r="L16" s="6" t="s">
        <v>140</v>
      </c>
      <c r="M16" s="4" t="s">
        <v>14</v>
      </c>
    </row>
    <row r="17" spans="1:13" ht="15.5" x14ac:dyDescent="0.35">
      <c r="A17" s="13">
        <v>46105</v>
      </c>
      <c r="B17" s="4">
        <v>2026</v>
      </c>
      <c r="C17" s="15">
        <v>13</v>
      </c>
      <c r="D17" s="8" t="s">
        <v>191</v>
      </c>
      <c r="E17" s="4" t="s">
        <v>347</v>
      </c>
      <c r="F17" s="4" t="s">
        <v>354</v>
      </c>
      <c r="G17" s="4"/>
      <c r="H17" s="8" t="s">
        <v>41</v>
      </c>
      <c r="I17" s="8" t="s">
        <v>11</v>
      </c>
      <c r="J17" s="8" t="s">
        <v>192</v>
      </c>
      <c r="K17" s="4" t="s">
        <v>442</v>
      </c>
      <c r="L17" s="6" t="s">
        <v>76</v>
      </c>
      <c r="M17" s="4" t="s">
        <v>14</v>
      </c>
    </row>
    <row r="18" spans="1:13" ht="15.5" x14ac:dyDescent="0.35">
      <c r="A18" s="13">
        <v>46105</v>
      </c>
      <c r="B18" s="4">
        <v>2026</v>
      </c>
      <c r="C18" s="15">
        <v>13</v>
      </c>
      <c r="D18" s="8" t="s">
        <v>194</v>
      </c>
      <c r="E18" s="4" t="s">
        <v>347</v>
      </c>
      <c r="F18" s="4" t="s">
        <v>354</v>
      </c>
      <c r="G18" s="4"/>
      <c r="H18" s="8" t="s">
        <v>195</v>
      </c>
      <c r="I18" s="8" t="s">
        <v>28</v>
      </c>
      <c r="J18" s="8" t="s">
        <v>166</v>
      </c>
      <c r="K18" s="4" t="s">
        <v>442</v>
      </c>
      <c r="L18" s="6" t="s">
        <v>76</v>
      </c>
      <c r="M18" s="4" t="s">
        <v>14</v>
      </c>
    </row>
    <row r="19" spans="1:13" ht="15.5" x14ac:dyDescent="0.35">
      <c r="A19" s="13">
        <v>46106</v>
      </c>
      <c r="B19" s="4">
        <v>2026</v>
      </c>
      <c r="C19" s="15">
        <v>13</v>
      </c>
      <c r="D19" s="8" t="s">
        <v>197</v>
      </c>
      <c r="E19" s="4" t="s">
        <v>347</v>
      </c>
      <c r="F19" s="4" t="s">
        <v>354</v>
      </c>
      <c r="G19" s="4"/>
      <c r="H19" s="8" t="s">
        <v>41</v>
      </c>
      <c r="I19" s="8" t="s">
        <v>11</v>
      </c>
      <c r="J19" s="8" t="s">
        <v>16</v>
      </c>
      <c r="K19" s="4" t="s">
        <v>442</v>
      </c>
      <c r="L19" s="6" t="s">
        <v>107</v>
      </c>
      <c r="M19" s="4" t="s">
        <v>14</v>
      </c>
    </row>
    <row r="20" spans="1:13" ht="17" x14ac:dyDescent="0.5">
      <c r="A20" s="13">
        <v>46108</v>
      </c>
      <c r="B20" s="4">
        <v>2026</v>
      </c>
      <c r="C20" s="15">
        <v>13</v>
      </c>
      <c r="D20" s="8" t="s">
        <v>204</v>
      </c>
      <c r="E20" s="4" t="s">
        <v>347</v>
      </c>
      <c r="F20" s="4" t="s">
        <v>354</v>
      </c>
      <c r="G20" s="4"/>
      <c r="H20" s="8" t="s">
        <v>41</v>
      </c>
      <c r="I20" s="8" t="s">
        <v>11</v>
      </c>
      <c r="J20" s="8" t="s">
        <v>42</v>
      </c>
      <c r="K20" s="4" t="s">
        <v>442</v>
      </c>
      <c r="L20" s="9" t="s">
        <v>140</v>
      </c>
      <c r="M20" s="4" t="s">
        <v>14</v>
      </c>
    </row>
    <row r="21" spans="1:13" ht="15.5" x14ac:dyDescent="0.35">
      <c r="A21" s="13">
        <v>46126</v>
      </c>
      <c r="B21" s="4">
        <v>2026</v>
      </c>
      <c r="C21" s="15">
        <v>16</v>
      </c>
      <c r="D21" s="8" t="s">
        <v>227</v>
      </c>
      <c r="E21" s="4" t="s">
        <v>348</v>
      </c>
      <c r="F21" s="4" t="s">
        <v>355</v>
      </c>
      <c r="G21" s="4"/>
      <c r="H21" s="8" t="s">
        <v>41</v>
      </c>
      <c r="I21" s="8" t="s">
        <v>11</v>
      </c>
      <c r="J21" s="8" t="s">
        <v>187</v>
      </c>
      <c r="K21" s="4" t="s">
        <v>442</v>
      </c>
      <c r="L21" s="6" t="s">
        <v>107</v>
      </c>
      <c r="M21" s="4" t="s">
        <v>14</v>
      </c>
    </row>
    <row r="22" spans="1:13" ht="15.5" x14ac:dyDescent="0.35">
      <c r="A22" s="13">
        <v>46126</v>
      </c>
      <c r="B22" s="4">
        <v>2026</v>
      </c>
      <c r="C22" s="15">
        <v>16</v>
      </c>
      <c r="D22" s="8" t="s">
        <v>229</v>
      </c>
      <c r="E22" s="4" t="s">
        <v>348</v>
      </c>
      <c r="F22" s="4" t="s">
        <v>355</v>
      </c>
      <c r="G22" s="4"/>
      <c r="H22" s="8" t="s">
        <v>41</v>
      </c>
      <c r="I22" s="8" t="s">
        <v>11</v>
      </c>
      <c r="J22" s="8" t="s">
        <v>187</v>
      </c>
      <c r="K22" s="4" t="s">
        <v>442</v>
      </c>
      <c r="L22" s="6" t="s">
        <v>107</v>
      </c>
      <c r="M22" s="4" t="s">
        <v>14</v>
      </c>
    </row>
    <row r="23" spans="1:13" ht="15.5" x14ac:dyDescent="0.35">
      <c r="A23" s="13">
        <v>46129</v>
      </c>
      <c r="B23" s="4">
        <v>2026</v>
      </c>
      <c r="C23" s="15">
        <v>16</v>
      </c>
      <c r="D23" s="8" t="s">
        <v>234</v>
      </c>
      <c r="E23" s="4" t="s">
        <v>348</v>
      </c>
      <c r="F23" s="4" t="s">
        <v>355</v>
      </c>
      <c r="G23" s="4"/>
      <c r="H23" s="8" t="s">
        <v>163</v>
      </c>
      <c r="I23" s="8" t="s">
        <v>11</v>
      </c>
      <c r="J23" s="8" t="s">
        <v>19</v>
      </c>
      <c r="K23" s="4" t="s">
        <v>442</v>
      </c>
      <c r="L23" s="6" t="s">
        <v>235</v>
      </c>
      <c r="M23" s="4" t="s">
        <v>14</v>
      </c>
    </row>
    <row r="24" spans="1:13" ht="15.5" x14ac:dyDescent="0.35">
      <c r="A24" s="13">
        <v>46132</v>
      </c>
      <c r="B24" s="4">
        <v>2026</v>
      </c>
      <c r="C24" s="15">
        <v>17</v>
      </c>
      <c r="D24" s="8" t="s">
        <v>239</v>
      </c>
      <c r="E24" s="4" t="s">
        <v>348</v>
      </c>
      <c r="F24" s="4" t="s">
        <v>355</v>
      </c>
      <c r="G24" s="4"/>
      <c r="H24" s="8" t="s">
        <v>41</v>
      </c>
      <c r="I24" s="8" t="s">
        <v>28</v>
      </c>
      <c r="J24" s="8" t="s">
        <v>166</v>
      </c>
      <c r="K24" s="4" t="s">
        <v>442</v>
      </c>
      <c r="L24" s="7" t="s">
        <v>140</v>
      </c>
      <c r="M24" s="4" t="s">
        <v>14</v>
      </c>
    </row>
    <row r="25" spans="1:13" ht="15.5" x14ac:dyDescent="0.35">
      <c r="A25" s="13">
        <v>46139</v>
      </c>
      <c r="B25" s="4">
        <v>2026</v>
      </c>
      <c r="C25" s="15">
        <v>18</v>
      </c>
      <c r="D25" s="8" t="s">
        <v>265</v>
      </c>
      <c r="E25" s="4" t="s">
        <v>348</v>
      </c>
      <c r="F25" s="4" t="s">
        <v>355</v>
      </c>
      <c r="G25" s="4"/>
      <c r="H25" s="8" t="s">
        <v>41</v>
      </c>
      <c r="I25" s="8" t="s">
        <v>11</v>
      </c>
      <c r="J25" s="8" t="s">
        <v>31</v>
      </c>
      <c r="K25" s="4" t="s">
        <v>442</v>
      </c>
      <c r="L25" s="6" t="s">
        <v>107</v>
      </c>
      <c r="M25" s="4" t="s">
        <v>14</v>
      </c>
    </row>
    <row r="26" spans="1:13" ht="15.5" x14ac:dyDescent="0.35">
      <c r="A26" s="13">
        <v>46146</v>
      </c>
      <c r="B26" s="4">
        <v>2026</v>
      </c>
      <c r="C26" s="15">
        <v>19</v>
      </c>
      <c r="D26" s="8" t="s">
        <v>276</v>
      </c>
      <c r="E26" s="4" t="s">
        <v>349</v>
      </c>
      <c r="F26" s="4" t="s">
        <v>356</v>
      </c>
      <c r="G26" s="4">
        <v>59</v>
      </c>
      <c r="H26" s="8" t="s">
        <v>277</v>
      </c>
      <c r="I26" s="8" t="s">
        <v>11</v>
      </c>
      <c r="J26" s="8" t="s">
        <v>39</v>
      </c>
      <c r="K26" s="4" t="s">
        <v>443</v>
      </c>
      <c r="L26" s="6" t="s">
        <v>76</v>
      </c>
      <c r="M26" s="4" t="s">
        <v>14</v>
      </c>
    </row>
    <row r="27" spans="1:13" ht="17" x14ac:dyDescent="0.5">
      <c r="A27" s="13">
        <v>46153</v>
      </c>
      <c r="B27" s="4">
        <v>2026</v>
      </c>
      <c r="C27" s="15">
        <v>20</v>
      </c>
      <c r="D27" s="8" t="s">
        <v>303</v>
      </c>
      <c r="E27" s="4" t="s">
        <v>349</v>
      </c>
      <c r="F27" s="4" t="s">
        <v>356</v>
      </c>
      <c r="G27" s="4"/>
      <c r="H27" s="8" t="s">
        <v>41</v>
      </c>
      <c r="I27" s="8" t="s">
        <v>11</v>
      </c>
      <c r="J27" s="8" t="s">
        <v>22</v>
      </c>
      <c r="K27" s="4" t="s">
        <v>442</v>
      </c>
      <c r="L27" s="9" t="s">
        <v>140</v>
      </c>
      <c r="M27" s="4" t="s">
        <v>14</v>
      </c>
    </row>
    <row r="28" spans="1:13" ht="17" x14ac:dyDescent="0.5">
      <c r="A28" s="13">
        <v>46168</v>
      </c>
      <c r="B28" s="4">
        <v>2026</v>
      </c>
      <c r="C28" s="15">
        <v>22</v>
      </c>
      <c r="D28" s="8" t="s">
        <v>327</v>
      </c>
      <c r="E28" s="4" t="s">
        <v>349</v>
      </c>
      <c r="F28" s="4" t="s">
        <v>356</v>
      </c>
      <c r="G28" s="4"/>
      <c r="H28" s="8" t="s">
        <v>10</v>
      </c>
      <c r="I28" s="8" t="s">
        <v>28</v>
      </c>
      <c r="J28" s="8" t="s">
        <v>42</v>
      </c>
      <c r="K28" s="4" t="s">
        <v>442</v>
      </c>
      <c r="L28" s="9" t="s">
        <v>140</v>
      </c>
      <c r="M28" s="4" t="s">
        <v>14</v>
      </c>
    </row>
    <row r="29" spans="1:13" ht="17" x14ac:dyDescent="0.5">
      <c r="A29" s="8" t="s">
        <v>373</v>
      </c>
      <c r="D29" s="8" t="s">
        <v>374</v>
      </c>
      <c r="E29" s="4">
        <v>6</v>
      </c>
      <c r="F29" s="8"/>
      <c r="H29" s="8" t="s">
        <v>41</v>
      </c>
      <c r="I29" s="8" t="s">
        <v>11</v>
      </c>
      <c r="J29" s="8" t="s">
        <v>166</v>
      </c>
      <c r="K29" s="16" t="s">
        <v>442</v>
      </c>
      <c r="L29" s="9" t="s">
        <v>140</v>
      </c>
      <c r="M29" s="4" t="s">
        <v>14</v>
      </c>
    </row>
    <row r="30" spans="1:13" ht="17" x14ac:dyDescent="0.5">
      <c r="A30" s="8" t="s">
        <v>373</v>
      </c>
      <c r="D30" s="8" t="s">
        <v>377</v>
      </c>
      <c r="E30" s="4">
        <v>6</v>
      </c>
      <c r="F30" s="8"/>
      <c r="H30" s="8" t="s">
        <v>10</v>
      </c>
      <c r="I30" s="8" t="s">
        <v>11</v>
      </c>
      <c r="J30" s="8" t="s">
        <v>46</v>
      </c>
      <c r="K30" s="16" t="s">
        <v>443</v>
      </c>
      <c r="L30" s="9" t="s">
        <v>140</v>
      </c>
      <c r="M30" s="4" t="s">
        <v>14</v>
      </c>
    </row>
    <row r="31" spans="1:13" ht="17" x14ac:dyDescent="0.5">
      <c r="A31" s="8" t="s">
        <v>394</v>
      </c>
      <c r="D31" s="8" t="s">
        <v>396</v>
      </c>
      <c r="E31" s="4">
        <v>6</v>
      </c>
      <c r="F31" s="8"/>
      <c r="H31" s="8" t="s">
        <v>41</v>
      </c>
      <c r="I31" s="8" t="s">
        <v>11</v>
      </c>
      <c r="J31" s="8" t="s">
        <v>31</v>
      </c>
      <c r="K31" s="16" t="s">
        <v>442</v>
      </c>
      <c r="L31" s="9" t="s">
        <v>140</v>
      </c>
      <c r="M31" s="4" t="s">
        <v>14</v>
      </c>
    </row>
    <row r="32" spans="1:13" ht="17" x14ac:dyDescent="0.5">
      <c r="A32" s="8" t="s">
        <v>394</v>
      </c>
      <c r="D32" s="8" t="s">
        <v>399</v>
      </c>
      <c r="E32" s="4">
        <v>6</v>
      </c>
      <c r="F32" s="8"/>
      <c r="H32" s="8" t="s">
        <v>27</v>
      </c>
      <c r="I32" s="8"/>
      <c r="J32" s="8" t="s">
        <v>400</v>
      </c>
      <c r="K32" s="16" t="s">
        <v>443</v>
      </c>
      <c r="L32" s="9" t="s">
        <v>43</v>
      </c>
      <c r="M32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graficos</vt:lpstr>
      <vt:lpstr>Sheet1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Nilzio Cavele</dc:creator>
  <cp:lastModifiedBy>Alex Manuel</cp:lastModifiedBy>
  <dcterms:created xsi:type="dcterms:W3CDTF">2026-07-13T12:04:19Z</dcterms:created>
  <dcterms:modified xsi:type="dcterms:W3CDTF">2026-07-17T08:17:40Z</dcterms:modified>
</cp:coreProperties>
</file>